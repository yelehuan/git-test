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uguifang\Desktop\TemplateFiles(1)\"/>
    </mc:Choice>
  </mc:AlternateContent>
  <bookViews>
    <workbookView xWindow="8130" yWindow="15" windowWidth="15765" windowHeight="11775"/>
  </bookViews>
  <sheets>
    <sheet name="首页" sheetId="1" r:id="rId1"/>
    <sheet name="杜邦分析指标" sheetId="4" r:id="rId2"/>
    <sheet name="杜邦分析图" sheetId="5" r:id="rId3"/>
    <sheet name="历史财务报表" sheetId="2" r:id="rId4"/>
    <sheet name="Formulas" sheetId="7" state="hidden" r:id="rId5"/>
  </sheets>
  <functionGroups builtInGroupCount="18"/>
  <definedNames>
    <definedName name="AnalysisDateText">首页!$G$12</definedName>
    <definedName name="DateListRange">首页!$S$1:$S$21</definedName>
    <definedName name="ReportDateRange">首页!$S$1:$S$6</definedName>
    <definedName name="StockCode">首页!$F$10</definedName>
    <definedName name="unit">首页!$W$1</definedName>
  </definedNames>
  <calcPr calcId="152511" calcMode="manual" iterate="1"/>
</workbook>
</file>

<file path=xl/calcChain.xml><?xml version="1.0" encoding="utf-8"?>
<calcChain xmlns="http://schemas.openxmlformats.org/spreadsheetml/2006/main">
  <c r="G1" i="7" l="1"/>
  <c r="F1" i="7"/>
  <c r="E1" i="7"/>
  <c r="D1" i="7"/>
  <c r="A1" i="7"/>
  <c r="G2" i="7"/>
  <c r="D5" i="7"/>
  <c r="D7" i="7"/>
  <c r="F4" i="7"/>
  <c r="E6" i="7"/>
  <c r="E23" i="7"/>
  <c r="G7" i="7"/>
  <c r="D22" i="7"/>
  <c r="D3" i="7" s="1"/>
  <c r="F7" i="7"/>
  <c r="F23" i="7"/>
  <c r="G22" i="7"/>
  <c r="G3" i="7" s="1"/>
  <c r="G5" i="7"/>
  <c r="F5" i="7"/>
  <c r="E4" i="7"/>
  <c r="E5" i="7"/>
  <c r="E22" i="7"/>
  <c r="E3" i="7" s="1"/>
  <c r="F6" i="7"/>
  <c r="D23" i="7"/>
  <c r="D6" i="7"/>
  <c r="F22" i="7"/>
  <c r="F2" i="7"/>
  <c r="G23" i="7"/>
  <c r="E2" i="7"/>
  <c r="E7" i="7"/>
  <c r="D2" i="7"/>
  <c r="G4" i="7"/>
  <c r="A2" i="2" l="1"/>
  <c r="C4" i="2"/>
  <c r="D4" i="2"/>
  <c r="E4" i="2"/>
  <c r="F4" i="2"/>
  <c r="G4" i="2"/>
  <c r="A2" i="4"/>
  <c r="C3" i="4"/>
  <c r="D3" i="4"/>
  <c r="E3" i="4"/>
  <c r="F3" i="4"/>
  <c r="G3" i="4"/>
  <c r="C5" i="2"/>
  <c r="B5" i="2"/>
  <c r="D11" i="4"/>
  <c r="D9" i="4"/>
  <c r="F10" i="4"/>
  <c r="D10" i="4"/>
  <c r="C9" i="4"/>
  <c r="F11" i="4"/>
  <c r="E5" i="2"/>
  <c r="E44" i="2" s="1"/>
  <c r="B44" i="2"/>
  <c r="G6" i="4"/>
  <c r="E6" i="4"/>
  <c r="F5" i="4"/>
  <c r="D47" i="2"/>
  <c r="B16" i="2"/>
  <c r="C10" i="4"/>
  <c r="F7" i="4"/>
  <c r="E9" i="4"/>
  <c r="C47" i="2"/>
  <c r="F9" i="4"/>
  <c r="G6" i="7"/>
  <c r="C8" i="4"/>
  <c r="C5" i="4"/>
  <c r="D8" i="4"/>
  <c r="G47" i="2"/>
  <c r="C7" i="4"/>
  <c r="G8" i="4"/>
  <c r="F3" i="7"/>
  <c r="C44" i="2"/>
  <c r="E5" i="4"/>
  <c r="E7" i="4"/>
  <c r="G5" i="4"/>
  <c r="F47" i="2"/>
  <c r="D7" i="4"/>
  <c r="E47" i="2"/>
  <c r="F5" i="2"/>
  <c r="C16" i="2"/>
  <c r="E16" i="2"/>
  <c r="G11" i="4"/>
  <c r="G9" i="4"/>
  <c r="E11" i="4"/>
  <c r="F16" i="2"/>
  <c r="E45" i="2"/>
  <c r="D5" i="2"/>
  <c r="C6" i="4"/>
  <c r="D6" i="4"/>
  <c r="F8" i="4"/>
  <c r="B47" i="2"/>
  <c r="G7" i="4"/>
  <c r="G10" i="4"/>
  <c r="G5" i="2"/>
  <c r="D4" i="7"/>
  <c r="D16" i="2"/>
  <c r="E8" i="4"/>
  <c r="D5" i="4"/>
  <c r="C11" i="4"/>
  <c r="F6" i="4"/>
  <c r="E10" i="4"/>
  <c r="F44" i="2"/>
  <c r="F45" i="2"/>
  <c r="D44" i="2"/>
  <c r="D45" i="2"/>
  <c r="G45" i="2"/>
  <c r="G44" i="2"/>
  <c r="G16" i="2"/>
  <c r="A35" i="4" l="1"/>
  <c r="C45" i="2"/>
  <c r="B45" i="2"/>
  <c r="A30" i="4" l="1"/>
  <c r="A31" i="4"/>
  <c r="A32" i="4"/>
  <c r="A33" i="4"/>
  <c r="A34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29" i="4"/>
  <c r="B7" i="4"/>
  <c r="V1" i="1" l="1"/>
  <c r="A3" i="2" s="1"/>
  <c r="W1" i="1"/>
  <c r="U1" i="1"/>
  <c r="E11" i="7"/>
  <c r="E13" i="7"/>
  <c r="D15" i="7"/>
  <c r="E12" i="7"/>
  <c r="D13" i="7"/>
  <c r="G18" i="7"/>
  <c r="E16" i="7"/>
  <c r="F10" i="7"/>
  <c r="D17" i="7"/>
  <c r="F19" i="7"/>
  <c r="F13" i="7"/>
  <c r="E15" i="7"/>
  <c r="F17" i="7"/>
  <c r="F14" i="7"/>
  <c r="D18" i="7"/>
  <c r="D11" i="7"/>
  <c r="G16" i="7"/>
  <c r="E10" i="7"/>
  <c r="F12" i="7"/>
  <c r="G17" i="7"/>
  <c r="D14" i="7"/>
  <c r="E17" i="7"/>
  <c r="F16" i="7"/>
  <c r="D10" i="7"/>
  <c r="F18" i="7"/>
  <c r="F20" i="7"/>
  <c r="E19" i="7"/>
  <c r="G13" i="7"/>
  <c r="E21" i="7"/>
  <c r="F15" i="7"/>
  <c r="D21" i="7"/>
  <c r="G19" i="7"/>
  <c r="F21" i="7"/>
  <c r="E14" i="7"/>
  <c r="G12" i="7"/>
  <c r="D16" i="7"/>
  <c r="G15" i="7"/>
  <c r="G21" i="7"/>
  <c r="D20" i="7"/>
  <c r="E20" i="7"/>
  <c r="E18" i="7"/>
  <c r="G11" i="7"/>
  <c r="F11" i="7"/>
  <c r="D12" i="7"/>
  <c r="D19" i="7"/>
  <c r="G10" i="7"/>
  <c r="G20" i="7"/>
  <c r="G14" i="7"/>
  <c r="A3" i="4" l="1"/>
  <c r="E9" i="7"/>
  <c r="G9" i="7"/>
  <c r="D9" i="7"/>
  <c r="F9" i="7"/>
  <c r="G8" i="7" l="1"/>
  <c r="F8" i="7"/>
  <c r="E8" i="7"/>
  <c r="D8" i="7"/>
  <c r="B10" i="4"/>
  <c r="D15" i="4"/>
  <c r="F16" i="4"/>
  <c r="B18" i="4"/>
  <c r="D19" i="4"/>
  <c r="F20" i="4"/>
  <c r="B22" i="4"/>
  <c r="D23" i="4"/>
  <c r="F24" i="4"/>
  <c r="B6" i="2"/>
  <c r="D7" i="2"/>
  <c r="F8" i="2"/>
  <c r="B10" i="2"/>
  <c r="D11" i="2"/>
  <c r="F12" i="2"/>
  <c r="B14" i="2"/>
  <c r="D15" i="2"/>
  <c r="F17" i="2"/>
  <c r="B19" i="2"/>
  <c r="D20" i="2"/>
  <c r="F21" i="2"/>
  <c r="B23" i="2"/>
  <c r="D24" i="2"/>
  <c r="F26" i="2"/>
  <c r="B28" i="2"/>
  <c r="D29" i="2"/>
  <c r="G17" i="2"/>
  <c r="C19" i="2"/>
  <c r="G21" i="2"/>
  <c r="B11" i="4"/>
  <c r="C14" i="4"/>
  <c r="E15" i="4"/>
  <c r="G16" i="4"/>
  <c r="C18" i="4"/>
  <c r="E19" i="4"/>
  <c r="G20" i="4"/>
  <c r="C22" i="4"/>
  <c r="E23" i="4"/>
  <c r="G24" i="4"/>
  <c r="C6" i="2"/>
  <c r="E7" i="2"/>
  <c r="G8" i="2"/>
  <c r="C10" i="2"/>
  <c r="E11" i="2"/>
  <c r="G12" i="2"/>
  <c r="C14" i="2"/>
  <c r="E15" i="2"/>
  <c r="E20" i="2"/>
  <c r="C23" i="2"/>
  <c r="E29" i="2"/>
  <c r="D14" i="4"/>
  <c r="F15" i="4"/>
  <c r="B17" i="4"/>
  <c r="D18" i="4"/>
  <c r="F19" i="4"/>
  <c r="D22" i="4"/>
  <c r="F23" i="4"/>
  <c r="B25" i="4"/>
  <c r="D6" i="2"/>
  <c r="F7" i="2"/>
  <c r="B9" i="2"/>
  <c r="D10" i="2"/>
  <c r="F11" i="2"/>
  <c r="B13" i="2"/>
  <c r="D14" i="2"/>
  <c r="F15" i="2"/>
  <c r="B18" i="2"/>
  <c r="D19" i="2"/>
  <c r="F20" i="2"/>
  <c r="B22" i="2"/>
  <c r="D23" i="2"/>
  <c r="F24" i="2"/>
  <c r="B27" i="2"/>
  <c r="D28" i="2"/>
  <c r="F29" i="2"/>
  <c r="C22" i="2"/>
  <c r="G24" i="2"/>
  <c r="G29" i="2"/>
  <c r="E24" i="4"/>
  <c r="C15" i="2"/>
  <c r="E21" i="2"/>
  <c r="C29" i="2"/>
  <c r="C13" i="4"/>
  <c r="E14" i="4"/>
  <c r="G15" i="4"/>
  <c r="C17" i="4"/>
  <c r="E18" i="4"/>
  <c r="G19" i="4"/>
  <c r="C21" i="4"/>
  <c r="E22" i="4"/>
  <c r="G23" i="4"/>
  <c r="C25" i="4"/>
  <c r="E6" i="2"/>
  <c r="G7" i="2"/>
  <c r="C9" i="2"/>
  <c r="E10" i="2"/>
  <c r="G11" i="2"/>
  <c r="C13" i="2"/>
  <c r="E14" i="2"/>
  <c r="G15" i="2"/>
  <c r="C18" i="2"/>
  <c r="E19" i="2"/>
  <c r="G20" i="2"/>
  <c r="E23" i="2"/>
  <c r="C27" i="2"/>
  <c r="E28" i="2"/>
  <c r="G21" i="4"/>
  <c r="E8" i="2"/>
  <c r="C11" i="2"/>
  <c r="G18" i="2"/>
  <c r="G27" i="2"/>
  <c r="B5" i="4"/>
  <c r="D13" i="4"/>
  <c r="F14" i="4"/>
  <c r="B16" i="4"/>
  <c r="D17" i="4"/>
  <c r="F18" i="4"/>
  <c r="B20" i="4"/>
  <c r="D21" i="4"/>
  <c r="F22" i="4"/>
  <c r="B24" i="4"/>
  <c r="D25" i="4"/>
  <c r="F6" i="2"/>
  <c r="B8" i="2"/>
  <c r="D9" i="2"/>
  <c r="F10" i="2"/>
  <c r="B12" i="2"/>
  <c r="D13" i="2"/>
  <c r="F14" i="2"/>
  <c r="B17" i="2"/>
  <c r="D18" i="2"/>
  <c r="F19" i="2"/>
  <c r="B21" i="2"/>
  <c r="D22" i="2"/>
  <c r="F23" i="2"/>
  <c r="B26" i="2"/>
  <c r="D27" i="2"/>
  <c r="F28" i="2"/>
  <c r="G19" i="2"/>
  <c r="E22" i="2"/>
  <c r="G23" i="2"/>
  <c r="E27" i="2"/>
  <c r="G13" i="4"/>
  <c r="G17" i="4"/>
  <c r="G25" i="4"/>
  <c r="E12" i="2"/>
  <c r="C20" i="2"/>
  <c r="C24" i="2"/>
  <c r="E24" i="2"/>
  <c r="B6" i="4"/>
  <c r="E13" i="4"/>
  <c r="G14" i="4"/>
  <c r="C16" i="4"/>
  <c r="E17" i="4"/>
  <c r="G18" i="4"/>
  <c r="C20" i="4"/>
  <c r="E21" i="4"/>
  <c r="G22" i="4"/>
  <c r="C24" i="4"/>
  <c r="E25" i="4"/>
  <c r="G6" i="2"/>
  <c r="C8" i="2"/>
  <c r="E9" i="2"/>
  <c r="G10" i="2"/>
  <c r="C12" i="2"/>
  <c r="E13" i="2"/>
  <c r="G14" i="2"/>
  <c r="C17" i="2"/>
  <c r="E18" i="2"/>
  <c r="C21" i="2"/>
  <c r="C26" i="2"/>
  <c r="G28" i="2"/>
  <c r="E16" i="4"/>
  <c r="E20" i="4"/>
  <c r="C7" i="2"/>
  <c r="G9" i="2"/>
  <c r="E17" i="2"/>
  <c r="E26" i="2"/>
  <c r="C28" i="2"/>
  <c r="B8" i="4"/>
  <c r="F13" i="4"/>
  <c r="B15" i="4"/>
  <c r="D16" i="4"/>
  <c r="F17" i="4"/>
  <c r="B19" i="4"/>
  <c r="D20" i="4"/>
  <c r="F21" i="4"/>
  <c r="B23" i="4"/>
  <c r="D24" i="4"/>
  <c r="F25" i="4"/>
  <c r="B7" i="2"/>
  <c r="D8" i="2"/>
  <c r="F9" i="2"/>
  <c r="B11" i="2"/>
  <c r="D12" i="2"/>
  <c r="F13" i="2"/>
  <c r="B15" i="2"/>
  <c r="D17" i="2"/>
  <c r="F18" i="2"/>
  <c r="B20" i="2"/>
  <c r="D21" i="2"/>
  <c r="F22" i="2"/>
  <c r="B24" i="2"/>
  <c r="D26" i="2"/>
  <c r="F27" i="2"/>
  <c r="B29" i="2"/>
  <c r="B9" i="4"/>
  <c r="C15" i="4"/>
  <c r="C19" i="4"/>
  <c r="C23" i="4"/>
  <c r="G13" i="2"/>
  <c r="G22" i="2"/>
  <c r="G26" i="2"/>
  <c r="B21" i="4"/>
  <c r="B13" i="4"/>
  <c r="B14" i="4"/>
  <c r="G12" i="4" l="1"/>
  <c r="F12" i="4"/>
  <c r="E12" i="4"/>
  <c r="D12" i="4"/>
  <c r="C12" i="4"/>
  <c r="B12" i="4"/>
  <c r="D31" i="2"/>
  <c r="F32" i="2"/>
  <c r="B34" i="2"/>
  <c r="C33" i="2"/>
  <c r="E31" i="2"/>
  <c r="G32" i="2"/>
  <c r="C34" i="2"/>
  <c r="B33" i="2"/>
  <c r="G31" i="2"/>
  <c r="B32" i="2"/>
  <c r="D33" i="2"/>
  <c r="F34" i="2"/>
  <c r="E34" i="2"/>
  <c r="C32" i="2"/>
  <c r="E33" i="2"/>
  <c r="G34" i="2"/>
  <c r="B31" i="2"/>
  <c r="D32" i="2"/>
  <c r="F33" i="2"/>
  <c r="D34" i="2"/>
  <c r="C31" i="2"/>
  <c r="E32" i="2"/>
  <c r="G33" i="2"/>
  <c r="F31" i="2"/>
  <c r="G30" i="2" l="1"/>
  <c r="F30" i="2"/>
  <c r="E30" i="2"/>
  <c r="D30" i="2"/>
  <c r="C30" i="2"/>
  <c r="B30" i="2"/>
  <c r="D36" i="2"/>
  <c r="F36" i="2"/>
  <c r="E38" i="2"/>
  <c r="C37" i="2"/>
  <c r="C38" i="2"/>
  <c r="B37" i="2"/>
  <c r="D38" i="2"/>
  <c r="B36" i="2"/>
  <c r="D37" i="2"/>
  <c r="F38" i="2"/>
  <c r="E36" i="2"/>
  <c r="B38" i="2"/>
  <c r="C36" i="2"/>
  <c r="E37" i="2"/>
  <c r="G38" i="2"/>
  <c r="F37" i="2"/>
  <c r="G37" i="2"/>
  <c r="G36" i="2"/>
  <c r="G35" i="2" l="1"/>
  <c r="F35" i="2"/>
  <c r="E35" i="2"/>
  <c r="D35" i="2"/>
  <c r="C35" i="2"/>
  <c r="B35" i="2"/>
  <c r="D40" i="2"/>
  <c r="F41" i="2"/>
  <c r="B49" i="2"/>
  <c r="D50" i="2"/>
  <c r="F51" i="2"/>
  <c r="B53" i="2"/>
  <c r="D54" i="2"/>
  <c r="F55" i="2"/>
  <c r="B57" i="2"/>
  <c r="D58" i="2"/>
  <c r="F59" i="2"/>
  <c r="B61" i="2"/>
  <c r="D62" i="2"/>
  <c r="F63" i="2"/>
  <c r="F67" i="2"/>
  <c r="C65" i="2"/>
  <c r="F66" i="2"/>
  <c r="E40" i="2"/>
  <c r="G41" i="2"/>
  <c r="C49" i="2"/>
  <c r="E50" i="2"/>
  <c r="G51" i="2"/>
  <c r="C53" i="2"/>
  <c r="E54" i="2"/>
  <c r="G55" i="2"/>
  <c r="C57" i="2"/>
  <c r="E58" i="2"/>
  <c r="G59" i="2"/>
  <c r="C61" i="2"/>
  <c r="E66" i="2"/>
  <c r="E65" i="2"/>
  <c r="F40" i="2"/>
  <c r="B42" i="2"/>
  <c r="D49" i="2"/>
  <c r="F50" i="2"/>
  <c r="B52" i="2"/>
  <c r="D53" i="2"/>
  <c r="F54" i="2"/>
  <c r="B56" i="2"/>
  <c r="D57" i="2"/>
  <c r="F58" i="2"/>
  <c r="B60" i="2"/>
  <c r="D61" i="2"/>
  <c r="F62" i="2"/>
  <c r="D65" i="2"/>
  <c r="G40" i="2"/>
  <c r="C42" i="2"/>
  <c r="E49" i="2"/>
  <c r="G50" i="2"/>
  <c r="C52" i="2"/>
  <c r="E53" i="2"/>
  <c r="G54" i="2"/>
  <c r="C56" i="2"/>
  <c r="E57" i="2"/>
  <c r="G58" i="2"/>
  <c r="C60" i="2"/>
  <c r="E61" i="2"/>
  <c r="G62" i="2"/>
  <c r="C64" i="2"/>
  <c r="B41" i="2"/>
  <c r="D42" i="2"/>
  <c r="F49" i="2"/>
  <c r="B51" i="2"/>
  <c r="D52" i="2"/>
  <c r="F53" i="2"/>
  <c r="B55" i="2"/>
  <c r="D56" i="2"/>
  <c r="F57" i="2"/>
  <c r="B59" i="2"/>
  <c r="D60" i="2"/>
  <c r="F61" i="2"/>
  <c r="B63" i="2"/>
  <c r="D64" i="2"/>
  <c r="F65" i="2"/>
  <c r="B67" i="2"/>
  <c r="G65" i="2"/>
  <c r="C41" i="2"/>
  <c r="E42" i="2"/>
  <c r="G49" i="2"/>
  <c r="C51" i="2"/>
  <c r="E52" i="2"/>
  <c r="G53" i="2"/>
  <c r="C55" i="2"/>
  <c r="E56" i="2"/>
  <c r="G57" i="2"/>
  <c r="C59" i="2"/>
  <c r="E60" i="2"/>
  <c r="G61" i="2"/>
  <c r="C63" i="2"/>
  <c r="E64" i="2"/>
  <c r="B40" i="2"/>
  <c r="D41" i="2"/>
  <c r="F42" i="2"/>
  <c r="B50" i="2"/>
  <c r="D51" i="2"/>
  <c r="F52" i="2"/>
  <c r="B54" i="2"/>
  <c r="D55" i="2"/>
  <c r="F56" i="2"/>
  <c r="B58" i="2"/>
  <c r="D59" i="2"/>
  <c r="F60" i="2"/>
  <c r="B62" i="2"/>
  <c r="D63" i="2"/>
  <c r="F64" i="2"/>
  <c r="B66" i="2"/>
  <c r="D67" i="2"/>
  <c r="B65" i="2"/>
  <c r="E62" i="2"/>
  <c r="G67" i="2"/>
  <c r="G66" i="2"/>
  <c r="C40" i="2"/>
  <c r="E41" i="2"/>
  <c r="G42" i="2"/>
  <c r="C50" i="2"/>
  <c r="E51" i="2"/>
  <c r="G52" i="2"/>
  <c r="C54" i="2"/>
  <c r="E55" i="2"/>
  <c r="G56" i="2"/>
  <c r="C58" i="2"/>
  <c r="E59" i="2"/>
  <c r="G60" i="2"/>
  <c r="C62" i="2"/>
  <c r="E63" i="2"/>
  <c r="G64" i="2"/>
  <c r="C66" i="2"/>
  <c r="E67" i="2"/>
  <c r="D66" i="2"/>
  <c r="G63" i="2"/>
  <c r="B64" i="2"/>
  <c r="C67" i="2"/>
  <c r="G39" i="2" l="1"/>
  <c r="F39" i="2"/>
  <c r="E39" i="2"/>
  <c r="D39" i="2"/>
  <c r="C39" i="2"/>
  <c r="B39" i="2"/>
  <c r="D69" i="2"/>
  <c r="F71" i="2"/>
  <c r="B73" i="2"/>
  <c r="D74" i="2"/>
  <c r="F75" i="2"/>
  <c r="B77" i="2"/>
  <c r="D78" i="2"/>
  <c r="F79" i="2"/>
  <c r="B81" i="2"/>
  <c r="D82" i="2"/>
  <c r="F83" i="2"/>
  <c r="B85" i="2"/>
  <c r="F87" i="2"/>
  <c r="G87" i="2"/>
  <c r="E69" i="2"/>
  <c r="G71" i="2"/>
  <c r="C73" i="2"/>
  <c r="E74" i="2"/>
  <c r="G75" i="2"/>
  <c r="C77" i="2"/>
  <c r="E78" i="2"/>
  <c r="G79" i="2"/>
  <c r="C81" i="2"/>
  <c r="E82" i="2"/>
  <c r="G83" i="2"/>
  <c r="E86" i="2"/>
  <c r="F69" i="2"/>
  <c r="B72" i="2"/>
  <c r="D73" i="2"/>
  <c r="F74" i="2"/>
  <c r="B76" i="2"/>
  <c r="D77" i="2"/>
  <c r="F78" i="2"/>
  <c r="B80" i="2"/>
  <c r="D81" i="2"/>
  <c r="F82" i="2"/>
  <c r="B84" i="2"/>
  <c r="D85" i="2"/>
  <c r="F86" i="2"/>
  <c r="G69" i="2"/>
  <c r="C72" i="2"/>
  <c r="E73" i="2"/>
  <c r="G74" i="2"/>
  <c r="C76" i="2"/>
  <c r="E77" i="2"/>
  <c r="G78" i="2"/>
  <c r="C80" i="2"/>
  <c r="E81" i="2"/>
  <c r="G82" i="2"/>
  <c r="C84" i="2"/>
  <c r="E85" i="2"/>
  <c r="G86" i="2"/>
  <c r="C88" i="2"/>
  <c r="F85" i="2"/>
  <c r="D88" i="2"/>
  <c r="E88" i="2"/>
  <c r="B71" i="2"/>
  <c r="D72" i="2"/>
  <c r="F73" i="2"/>
  <c r="B75" i="2"/>
  <c r="D76" i="2"/>
  <c r="F77" i="2"/>
  <c r="B79" i="2"/>
  <c r="D80" i="2"/>
  <c r="F81" i="2"/>
  <c r="B83" i="2"/>
  <c r="D84" i="2"/>
  <c r="B87" i="2"/>
  <c r="G85" i="2"/>
  <c r="B86" i="2"/>
  <c r="C71" i="2"/>
  <c r="E72" i="2"/>
  <c r="G73" i="2"/>
  <c r="C75" i="2"/>
  <c r="E76" i="2"/>
  <c r="G77" i="2"/>
  <c r="C79" i="2"/>
  <c r="E80" i="2"/>
  <c r="G81" i="2"/>
  <c r="C83" i="2"/>
  <c r="E84" i="2"/>
  <c r="C87" i="2"/>
  <c r="F88" i="2"/>
  <c r="B69" i="2"/>
  <c r="D71" i="2"/>
  <c r="F72" i="2"/>
  <c r="B74" i="2"/>
  <c r="D75" i="2"/>
  <c r="F76" i="2"/>
  <c r="B78" i="2"/>
  <c r="D79" i="2"/>
  <c r="F80" i="2"/>
  <c r="B82" i="2"/>
  <c r="D83" i="2"/>
  <c r="F84" i="2"/>
  <c r="D87" i="2"/>
  <c r="C69" i="2"/>
  <c r="E71" i="2"/>
  <c r="G72" i="2"/>
  <c r="C74" i="2"/>
  <c r="E75" i="2"/>
  <c r="G76" i="2"/>
  <c r="C78" i="2"/>
  <c r="E79" i="2"/>
  <c r="G80" i="2"/>
  <c r="C82" i="2"/>
  <c r="E83" i="2"/>
  <c r="G84" i="2"/>
  <c r="C86" i="2"/>
  <c r="E87" i="2"/>
  <c r="G88" i="2"/>
  <c r="D86" i="2"/>
  <c r="C85" i="2"/>
  <c r="B88" i="2"/>
  <c r="G68" i="2" l="1"/>
  <c r="F68" i="2"/>
  <c r="E68" i="2"/>
  <c r="D68" i="2"/>
  <c r="C68" i="2"/>
  <c r="B68" i="2"/>
  <c r="E90" i="2"/>
  <c r="G90" i="2"/>
  <c r="B90" i="2"/>
  <c r="C90" i="2"/>
  <c r="D90" i="2"/>
  <c r="F90" i="2"/>
  <c r="G89" i="2" l="1"/>
  <c r="F89" i="2"/>
  <c r="E89" i="2"/>
  <c r="D89" i="2"/>
  <c r="C89" i="2"/>
  <c r="B89" i="2"/>
  <c r="D92" i="2"/>
  <c r="F94" i="2"/>
  <c r="B96" i="2"/>
  <c r="D97" i="2"/>
  <c r="F98" i="2"/>
  <c r="B100" i="2"/>
  <c r="D101" i="2"/>
  <c r="F102" i="2"/>
  <c r="B104" i="2"/>
  <c r="D105" i="2"/>
  <c r="F106" i="2"/>
  <c r="B108" i="2"/>
  <c r="D109" i="2"/>
  <c r="F110" i="2"/>
  <c r="B112" i="2"/>
  <c r="F114" i="2"/>
  <c r="D117" i="2"/>
  <c r="C112" i="2"/>
  <c r="E92" i="2"/>
  <c r="G94" i="2"/>
  <c r="C96" i="2"/>
  <c r="E97" i="2"/>
  <c r="G98" i="2"/>
  <c r="C100" i="2"/>
  <c r="E101" i="2"/>
  <c r="G102" i="2"/>
  <c r="C104" i="2"/>
  <c r="E105" i="2"/>
  <c r="G106" i="2"/>
  <c r="C108" i="2"/>
  <c r="E109" i="2"/>
  <c r="E117" i="2"/>
  <c r="F92" i="2"/>
  <c r="B95" i="2"/>
  <c r="D96" i="2"/>
  <c r="F97" i="2"/>
  <c r="B99" i="2"/>
  <c r="D100" i="2"/>
  <c r="F101" i="2"/>
  <c r="B103" i="2"/>
  <c r="D104" i="2"/>
  <c r="F105" i="2"/>
  <c r="B107" i="2"/>
  <c r="D108" i="2"/>
  <c r="F109" i="2"/>
  <c r="B111" i="2"/>
  <c r="D112" i="2"/>
  <c r="F113" i="2"/>
  <c r="B115" i="2"/>
  <c r="D116" i="2"/>
  <c r="G92" i="2"/>
  <c r="C95" i="2"/>
  <c r="E96" i="2"/>
  <c r="G97" i="2"/>
  <c r="C99" i="2"/>
  <c r="E100" i="2"/>
  <c r="G101" i="2"/>
  <c r="C103" i="2"/>
  <c r="E104" i="2"/>
  <c r="G105" i="2"/>
  <c r="C107" i="2"/>
  <c r="E108" i="2"/>
  <c r="G109" i="2"/>
  <c r="C111" i="2"/>
  <c r="E112" i="2"/>
  <c r="G113" i="2"/>
  <c r="C115" i="2"/>
  <c r="E116" i="2"/>
  <c r="G117" i="2"/>
  <c r="D115" i="2"/>
  <c r="D114" i="2"/>
  <c r="G114" i="2"/>
  <c r="B94" i="2"/>
  <c r="D95" i="2"/>
  <c r="F96" i="2"/>
  <c r="B98" i="2"/>
  <c r="D99" i="2"/>
  <c r="F100" i="2"/>
  <c r="B102" i="2"/>
  <c r="D103" i="2"/>
  <c r="F104" i="2"/>
  <c r="B106" i="2"/>
  <c r="D107" i="2"/>
  <c r="F108" i="2"/>
  <c r="B110" i="2"/>
  <c r="D111" i="2"/>
  <c r="F112" i="2"/>
  <c r="B114" i="2"/>
  <c r="F116" i="2"/>
  <c r="E113" i="2"/>
  <c r="C94" i="2"/>
  <c r="E95" i="2"/>
  <c r="G96" i="2"/>
  <c r="C98" i="2"/>
  <c r="E99" i="2"/>
  <c r="G100" i="2"/>
  <c r="C102" i="2"/>
  <c r="E103" i="2"/>
  <c r="G104" i="2"/>
  <c r="C106" i="2"/>
  <c r="E107" i="2"/>
  <c r="G108" i="2"/>
  <c r="C110" i="2"/>
  <c r="E111" i="2"/>
  <c r="G112" i="2"/>
  <c r="C114" i="2"/>
  <c r="E115" i="2"/>
  <c r="G116" i="2"/>
  <c r="B117" i="2"/>
  <c r="B92" i="2"/>
  <c r="D94" i="2"/>
  <c r="F95" i="2"/>
  <c r="B97" i="2"/>
  <c r="D98" i="2"/>
  <c r="F99" i="2"/>
  <c r="B101" i="2"/>
  <c r="D102" i="2"/>
  <c r="F103" i="2"/>
  <c r="B105" i="2"/>
  <c r="D106" i="2"/>
  <c r="F107" i="2"/>
  <c r="B109" i="2"/>
  <c r="D110" i="2"/>
  <c r="F111" i="2"/>
  <c r="B113" i="2"/>
  <c r="F115" i="2"/>
  <c r="C116" i="2"/>
  <c r="C92" i="2"/>
  <c r="E94" i="2"/>
  <c r="G95" i="2"/>
  <c r="C97" i="2"/>
  <c r="E98" i="2"/>
  <c r="G99" i="2"/>
  <c r="C101" i="2"/>
  <c r="E102" i="2"/>
  <c r="G103" i="2"/>
  <c r="C105" i="2"/>
  <c r="E106" i="2"/>
  <c r="G107" i="2"/>
  <c r="C109" i="2"/>
  <c r="E110" i="2"/>
  <c r="G111" i="2"/>
  <c r="C113" i="2"/>
  <c r="E114" i="2"/>
  <c r="G115" i="2"/>
  <c r="C117" i="2"/>
  <c r="D113" i="2"/>
  <c r="B116" i="2"/>
  <c r="G110" i="2"/>
  <c r="F117" i="2"/>
  <c r="G91" i="2" l="1"/>
  <c r="F91" i="2"/>
  <c r="E91" i="2"/>
  <c r="D91" i="2"/>
  <c r="C91" i="2"/>
  <c r="B91" i="2"/>
  <c r="D119" i="2"/>
  <c r="F121" i="2"/>
  <c r="B123" i="2"/>
  <c r="D124" i="2"/>
  <c r="F125" i="2"/>
  <c r="B127" i="2"/>
  <c r="E119" i="2"/>
  <c r="G121" i="2"/>
  <c r="C123" i="2"/>
  <c r="E124" i="2"/>
  <c r="G125" i="2"/>
  <c r="C127" i="2"/>
  <c r="F119" i="2"/>
  <c r="B122" i="2"/>
  <c r="D123" i="2"/>
  <c r="F124" i="2"/>
  <c r="B126" i="2"/>
  <c r="D127" i="2"/>
  <c r="G119" i="2"/>
  <c r="C122" i="2"/>
  <c r="E123" i="2"/>
  <c r="G124" i="2"/>
  <c r="C126" i="2"/>
  <c r="E127" i="2"/>
  <c r="B121" i="2"/>
  <c r="D122" i="2"/>
  <c r="F123" i="2"/>
  <c r="B125" i="2"/>
  <c r="D126" i="2"/>
  <c r="F127" i="2"/>
  <c r="C121" i="2"/>
  <c r="E122" i="2"/>
  <c r="G123" i="2"/>
  <c r="C125" i="2"/>
  <c r="E126" i="2"/>
  <c r="G127" i="2"/>
  <c r="B119" i="2"/>
  <c r="D121" i="2"/>
  <c r="F122" i="2"/>
  <c r="B124" i="2"/>
  <c r="D125" i="2"/>
  <c r="F126" i="2"/>
  <c r="E125" i="2"/>
  <c r="G126" i="2"/>
  <c r="C119" i="2"/>
  <c r="E121" i="2"/>
  <c r="G122" i="2"/>
  <c r="C124" i="2"/>
  <c r="G118" i="2" l="1"/>
  <c r="F118" i="2"/>
  <c r="E118" i="2"/>
  <c r="D118" i="2"/>
  <c r="C118" i="2"/>
  <c r="B118" i="2"/>
  <c r="B129" i="2"/>
  <c r="D129" i="2"/>
  <c r="G129" i="2"/>
  <c r="C129" i="2"/>
  <c r="E129" i="2"/>
  <c r="F129" i="2"/>
  <c r="G128" i="2" l="1"/>
  <c r="F128" i="2"/>
  <c r="E128" i="2"/>
  <c r="D128" i="2"/>
  <c r="C128" i="2"/>
  <c r="B128" i="2"/>
  <c r="D131" i="2"/>
  <c r="F133" i="2"/>
  <c r="B135" i="2"/>
  <c r="D136" i="2"/>
  <c r="F137" i="2"/>
  <c r="F141" i="2"/>
  <c r="G141" i="2"/>
  <c r="E131" i="2"/>
  <c r="G133" i="2"/>
  <c r="C135" i="2"/>
  <c r="E136" i="2"/>
  <c r="E140" i="2"/>
  <c r="C141" i="2"/>
  <c r="F131" i="2"/>
  <c r="B134" i="2"/>
  <c r="D135" i="2"/>
  <c r="F136" i="2"/>
  <c r="B138" i="2"/>
  <c r="G140" i="2"/>
  <c r="G131" i="2"/>
  <c r="C134" i="2"/>
  <c r="E135" i="2"/>
  <c r="G136" i="2"/>
  <c r="C138" i="2"/>
  <c r="E139" i="2"/>
  <c r="B133" i="2"/>
  <c r="D134" i="2"/>
  <c r="F135" i="2"/>
  <c r="B137" i="2"/>
  <c r="D138" i="2"/>
  <c r="F139" i="2"/>
  <c r="B141" i="2"/>
  <c r="C133" i="2"/>
  <c r="E134" i="2"/>
  <c r="G135" i="2"/>
  <c r="C137" i="2"/>
  <c r="E138" i="2"/>
  <c r="G139" i="2"/>
  <c r="B131" i="2"/>
  <c r="D133" i="2"/>
  <c r="F134" i="2"/>
  <c r="B136" i="2"/>
  <c r="D137" i="2"/>
  <c r="F138" i="2"/>
  <c r="B140" i="2"/>
  <c r="D141" i="2"/>
  <c r="D140" i="2"/>
  <c r="C139" i="2"/>
  <c r="F140" i="2"/>
  <c r="C131" i="2"/>
  <c r="E133" i="2"/>
  <c r="G134" i="2"/>
  <c r="C136" i="2"/>
  <c r="E137" i="2"/>
  <c r="G138" i="2"/>
  <c r="C140" i="2"/>
  <c r="E141" i="2"/>
  <c r="B139" i="2"/>
  <c r="G137" i="2"/>
  <c r="D139" i="2"/>
  <c r="G130" i="2" l="1"/>
  <c r="F130" i="2"/>
  <c r="E130" i="2"/>
  <c r="D130" i="2"/>
  <c r="C130" i="2"/>
  <c r="B130" i="2"/>
  <c r="D143" i="2"/>
  <c r="G143" i="2"/>
  <c r="B144" i="2"/>
  <c r="C144" i="2"/>
  <c r="B143" i="2"/>
  <c r="D144" i="2"/>
  <c r="E143" i="2"/>
  <c r="F143" i="2"/>
  <c r="C143" i="2"/>
  <c r="E144" i="2"/>
  <c r="F144" i="2"/>
  <c r="G144" i="2"/>
  <c r="G142" i="2" l="1"/>
  <c r="F142" i="2"/>
  <c r="E142" i="2"/>
  <c r="D142" i="2"/>
  <c r="C142" i="2"/>
  <c r="B142" i="2"/>
  <c r="D146" i="2"/>
  <c r="E146" i="2"/>
  <c r="D152" i="2"/>
  <c r="G150" i="2"/>
  <c r="G152" i="2"/>
  <c r="B151" i="2"/>
  <c r="G146" i="2"/>
  <c r="B150" i="2"/>
  <c r="D151" i="2"/>
  <c r="F152" i="2"/>
  <c r="C150" i="2"/>
  <c r="E151" i="2"/>
  <c r="B146" i="2"/>
  <c r="D150" i="2"/>
  <c r="F151" i="2"/>
  <c r="B152" i="2"/>
  <c r="C152" i="2"/>
  <c r="C151" i="2"/>
  <c r="C146" i="2"/>
  <c r="E150" i="2"/>
  <c r="G151" i="2"/>
  <c r="F150" i="2"/>
  <c r="F146" i="2"/>
  <c r="E152" i="2"/>
  <c r="G145" i="2" l="1"/>
  <c r="F145" i="2"/>
  <c r="E145" i="2"/>
  <c r="D145" i="2"/>
  <c r="C145" i="2"/>
  <c r="B145" i="2"/>
  <c r="D154" i="2"/>
  <c r="F155" i="2"/>
  <c r="B157" i="2"/>
  <c r="C157" i="2"/>
  <c r="E154" i="2"/>
  <c r="G155" i="2"/>
  <c r="F154" i="2"/>
  <c r="B156" i="2"/>
  <c r="D157" i="2"/>
  <c r="F158" i="2"/>
  <c r="E156" i="2"/>
  <c r="G154" i="2"/>
  <c r="C156" i="2"/>
  <c r="E157" i="2"/>
  <c r="G158" i="2"/>
  <c r="B155" i="2"/>
  <c r="D156" i="2"/>
  <c r="F157" i="2"/>
  <c r="E158" i="2"/>
  <c r="C155" i="2"/>
  <c r="G157" i="2"/>
  <c r="B154" i="2"/>
  <c r="D155" i="2"/>
  <c r="F156" i="2"/>
  <c r="B158" i="2"/>
  <c r="D158" i="2"/>
  <c r="C154" i="2"/>
  <c r="E155" i="2"/>
  <c r="G156" i="2"/>
  <c r="C158" i="2"/>
  <c r="G153" i="2" l="1"/>
  <c r="F153" i="2"/>
  <c r="E153" i="2"/>
  <c r="D153" i="2"/>
  <c r="C153" i="2"/>
  <c r="B153" i="2"/>
  <c r="F160" i="2"/>
  <c r="G160" i="2"/>
  <c r="D160" i="2"/>
  <c r="B160" i="2"/>
  <c r="E160" i="2"/>
  <c r="C160" i="2"/>
  <c r="G159" i="2" l="1"/>
  <c r="F159" i="2"/>
  <c r="E159" i="2"/>
  <c r="D159" i="2"/>
  <c r="C159" i="2"/>
  <c r="B159" i="2"/>
  <c r="D162" i="2"/>
  <c r="F164" i="2"/>
  <c r="D167" i="2"/>
  <c r="G164" i="2"/>
  <c r="F167" i="2"/>
  <c r="E162" i="2"/>
  <c r="C166" i="2"/>
  <c r="G167" i="2"/>
  <c r="F162" i="2"/>
  <c r="B165" i="2"/>
  <c r="G162" i="2"/>
  <c r="C165" i="2"/>
  <c r="B164" i="2"/>
  <c r="D165" i="2"/>
  <c r="F166" i="2"/>
  <c r="B168" i="2"/>
  <c r="D166" i="2"/>
  <c r="C164" i="2"/>
  <c r="E165" i="2"/>
  <c r="G166" i="2"/>
  <c r="C168" i="2"/>
  <c r="B162" i="2"/>
  <c r="D164" i="2"/>
  <c r="B167" i="2"/>
  <c r="G168" i="2"/>
  <c r="F165" i="2"/>
  <c r="D168" i="2"/>
  <c r="C162" i="2"/>
  <c r="E164" i="2"/>
  <c r="G165" i="2"/>
  <c r="C167" i="2"/>
  <c r="E168" i="2"/>
  <c r="B166" i="2"/>
  <c r="F168" i="2"/>
  <c r="E167" i="2"/>
  <c r="E166" i="2"/>
  <c r="G161" i="2" l="1"/>
  <c r="F161" i="2"/>
  <c r="E161" i="2"/>
  <c r="D161" i="2"/>
  <c r="C161" i="2"/>
  <c r="B161" i="2"/>
  <c r="D170" i="2"/>
  <c r="B173" i="2"/>
  <c r="E170" i="2"/>
  <c r="G171" i="2"/>
  <c r="F170" i="2"/>
  <c r="B172" i="2"/>
  <c r="D173" i="2"/>
  <c r="F174" i="2"/>
  <c r="C173" i="2"/>
  <c r="G170" i="2"/>
  <c r="C172" i="2"/>
  <c r="E173" i="2"/>
  <c r="G174" i="2"/>
  <c r="F172" i="2"/>
  <c r="B171" i="2"/>
  <c r="D172" i="2"/>
  <c r="F173" i="2"/>
  <c r="G173" i="2"/>
  <c r="D171" i="2"/>
  <c r="D174" i="2"/>
  <c r="C171" i="2"/>
  <c r="E172" i="2"/>
  <c r="B170" i="2"/>
  <c r="B174" i="2"/>
  <c r="C170" i="2"/>
  <c r="E171" i="2"/>
  <c r="G172" i="2"/>
  <c r="C174" i="2"/>
  <c r="F171" i="2"/>
  <c r="E174" i="2"/>
  <c r="G169" i="2" l="1"/>
  <c r="F169" i="2"/>
  <c r="E169" i="2"/>
  <c r="D169" i="2"/>
  <c r="C169" i="2"/>
  <c r="B169" i="2"/>
  <c r="D176" i="2"/>
  <c r="E176" i="2"/>
  <c r="F176" i="2"/>
  <c r="G176" i="2"/>
  <c r="B176" i="2"/>
  <c r="C176" i="2"/>
  <c r="G175" i="2" l="1"/>
  <c r="F175" i="2"/>
  <c r="E175" i="2"/>
  <c r="D175" i="2"/>
  <c r="C175" i="2"/>
  <c r="B175" i="2"/>
  <c r="D178" i="2"/>
  <c r="F180" i="2"/>
  <c r="C182" i="2"/>
  <c r="E178" i="2"/>
  <c r="G180" i="2"/>
  <c r="G184" i="2"/>
  <c r="F178" i="2"/>
  <c r="B181" i="2"/>
  <c r="D182" i="2"/>
  <c r="F183" i="2"/>
  <c r="G178" i="2"/>
  <c r="C181" i="2"/>
  <c r="E182" i="2"/>
  <c r="G183" i="2"/>
  <c r="F181" i="2"/>
  <c r="B182" i="2"/>
  <c r="B180" i="2"/>
  <c r="D181" i="2"/>
  <c r="F182" i="2"/>
  <c r="B184" i="2"/>
  <c r="D180" i="2"/>
  <c r="D184" i="2"/>
  <c r="E183" i="2"/>
  <c r="C180" i="2"/>
  <c r="E181" i="2"/>
  <c r="G182" i="2"/>
  <c r="C184" i="2"/>
  <c r="B178" i="2"/>
  <c r="B183" i="2"/>
  <c r="F184" i="2"/>
  <c r="C178" i="2"/>
  <c r="E180" i="2"/>
  <c r="G181" i="2"/>
  <c r="C183" i="2"/>
  <c r="E184" i="2"/>
  <c r="D183" i="2"/>
  <c r="G177" i="2" l="1"/>
  <c r="F177" i="2"/>
  <c r="E177" i="2"/>
  <c r="D177" i="2"/>
  <c r="C177" i="2"/>
  <c r="B177" i="2"/>
  <c r="D186" i="2"/>
  <c r="E186" i="2"/>
  <c r="G187" i="2"/>
  <c r="C189" i="2"/>
  <c r="F186" i="2"/>
  <c r="B188" i="2"/>
  <c r="D189" i="2"/>
  <c r="F190" i="2"/>
  <c r="C188" i="2"/>
  <c r="G190" i="2"/>
  <c r="G186" i="2"/>
  <c r="E189" i="2"/>
  <c r="E190" i="2"/>
  <c r="B187" i="2"/>
  <c r="D188" i="2"/>
  <c r="F189" i="2"/>
  <c r="E188" i="2"/>
  <c r="G189" i="2"/>
  <c r="C190" i="2"/>
  <c r="C187" i="2"/>
  <c r="C186" i="2"/>
  <c r="F187" i="2"/>
  <c r="D190" i="2"/>
  <c r="B186" i="2"/>
  <c r="D187" i="2"/>
  <c r="F188" i="2"/>
  <c r="B190" i="2"/>
  <c r="E187" i="2"/>
  <c r="B189" i="2"/>
  <c r="G188" i="2"/>
  <c r="G185" i="2" l="1"/>
  <c r="F185" i="2"/>
  <c r="E185" i="2"/>
  <c r="D185" i="2"/>
  <c r="C185" i="2"/>
  <c r="B185" i="2"/>
  <c r="B192" i="2"/>
  <c r="E192" i="2"/>
  <c r="G192" i="2"/>
  <c r="C192" i="2"/>
  <c r="D192" i="2"/>
  <c r="F192" i="2"/>
  <c r="G191" i="2" l="1"/>
  <c r="F191" i="2"/>
  <c r="E191" i="2"/>
  <c r="D191" i="2"/>
  <c r="C191" i="2"/>
  <c r="B191" i="2"/>
  <c r="E194" i="2"/>
  <c r="B196" i="2"/>
  <c r="C196" i="2"/>
  <c r="B194" i="2"/>
  <c r="D196" i="2"/>
  <c r="D194" i="2"/>
  <c r="F194" i="2"/>
  <c r="C194" i="2"/>
  <c r="E196" i="2"/>
  <c r="F196" i="2"/>
  <c r="G196" i="2"/>
  <c r="G194" i="2"/>
  <c r="G193" i="2" l="1"/>
  <c r="F193" i="2"/>
  <c r="E193" i="2"/>
  <c r="D193" i="2"/>
  <c r="C193" i="2"/>
  <c r="B193" i="2"/>
  <c r="D198" i="2"/>
  <c r="I10" i="1"/>
  <c r="G199" i="2"/>
  <c r="F11" i="1"/>
  <c r="F198" i="2"/>
  <c r="B200" i="2"/>
  <c r="I11" i="1"/>
  <c r="G198" i="2"/>
  <c r="C200" i="2"/>
  <c r="I12" i="1"/>
  <c r="B199" i="2"/>
  <c r="D200" i="2"/>
  <c r="E200" i="2"/>
  <c r="C199" i="2"/>
  <c r="E198" i="2"/>
  <c r="B198" i="2"/>
  <c r="D199" i="2"/>
  <c r="F200" i="2"/>
  <c r="F199" i="2"/>
  <c r="C198" i="2"/>
  <c r="E199" i="2"/>
  <c r="G200" i="2"/>
  <c r="C3" i="5" l="1"/>
  <c r="G197" i="2"/>
  <c r="F197" i="2"/>
  <c r="E197" i="2"/>
  <c r="D197" i="2"/>
  <c r="C197" i="2"/>
  <c r="B197" i="2"/>
  <c r="I13" i="1"/>
  <c r="I14" i="1"/>
  <c r="I15" i="1"/>
  <c r="B4" i="2"/>
  <c r="B6" i="5"/>
  <c r="B3" i="4"/>
  <c r="G12" i="1"/>
</calcChain>
</file>

<file path=xl/sharedStrings.xml><?xml version="1.0" encoding="utf-8"?>
<sst xmlns="http://schemas.openxmlformats.org/spreadsheetml/2006/main" count="278" uniqueCount="271">
  <si>
    <t>公司名称</t>
    <phoneticPr fontId="1" type="noConversion"/>
  </si>
  <si>
    <t>报告年份</t>
    <phoneticPr fontId="1" type="noConversion"/>
  </si>
  <si>
    <t>formula</t>
    <phoneticPr fontId="1" type="noConversion"/>
  </si>
  <si>
    <t>注：当选择与上年同期对比时，图形中斜线右侧数字为上年同期数值或与上年同期相比变动比率。</t>
    <phoneticPr fontId="1" type="noConversion"/>
  </si>
  <si>
    <t>元</t>
  </si>
  <si>
    <t>千元</t>
  </si>
  <si>
    <t>万元</t>
  </si>
  <si>
    <t>百万元</t>
  </si>
  <si>
    <t>杜邦分析图</t>
    <phoneticPr fontId="18" type="noConversion"/>
  </si>
  <si>
    <t>亿元</t>
  </si>
  <si>
    <t>十亿元</t>
  </si>
  <si>
    <r>
      <rPr>
        <sz val="10"/>
        <color indexed="8"/>
        <rFont val="宋体"/>
        <family val="3"/>
        <charset val="134"/>
      </rPr>
      <t>第一年同期数据</t>
    </r>
    <phoneticPr fontId="1" type="noConversion"/>
  </si>
  <si>
    <r>
      <rPr>
        <b/>
        <sz val="10"/>
        <color theme="1"/>
        <rFont val="宋体"/>
        <family val="3"/>
        <charset val="134"/>
      </rPr>
      <t>净资产收益率</t>
    </r>
    <phoneticPr fontId="2" type="noConversion"/>
  </si>
  <si>
    <r>
      <rPr>
        <b/>
        <sz val="10"/>
        <color theme="1"/>
        <rFont val="宋体"/>
        <family val="3"/>
        <charset val="134"/>
      </rPr>
      <t>资产净利率</t>
    </r>
    <phoneticPr fontId="2" type="noConversion"/>
  </si>
  <si>
    <r>
      <rPr>
        <b/>
        <sz val="10"/>
        <color theme="1"/>
        <rFont val="宋体"/>
        <family val="3"/>
        <charset val="134"/>
      </rPr>
      <t>权益乘数</t>
    </r>
    <phoneticPr fontId="2" type="noConversion"/>
  </si>
  <si>
    <r>
      <rPr>
        <b/>
        <sz val="10"/>
        <color theme="1"/>
        <rFont val="宋体"/>
        <family val="3"/>
        <charset val="134"/>
      </rPr>
      <t>销售净利率</t>
    </r>
    <phoneticPr fontId="2" type="noConversion"/>
  </si>
  <si>
    <r>
      <rPr>
        <b/>
        <sz val="10"/>
        <color theme="1"/>
        <rFont val="宋体"/>
        <family val="3"/>
        <charset val="134"/>
      </rPr>
      <t>资产周转率</t>
    </r>
    <phoneticPr fontId="2" type="noConversion"/>
  </si>
  <si>
    <r>
      <rPr>
        <b/>
        <sz val="10"/>
        <color theme="1"/>
        <rFont val="宋体"/>
        <family val="3"/>
        <charset val="134"/>
      </rPr>
      <t>资产负债率</t>
    </r>
    <phoneticPr fontId="2" type="noConversion"/>
  </si>
  <si>
    <r>
      <rPr>
        <b/>
        <sz val="10"/>
        <color theme="1"/>
        <rFont val="宋体"/>
        <family val="3"/>
        <charset val="134"/>
      </rPr>
      <t>归属母公司股东净利润占比</t>
    </r>
  </si>
  <si>
    <r>
      <rPr>
        <b/>
        <sz val="10"/>
        <color theme="1"/>
        <rFont val="宋体"/>
        <family val="3"/>
        <charset val="134"/>
      </rPr>
      <t>归属母公司净利润</t>
    </r>
  </si>
  <si>
    <r>
      <rPr>
        <b/>
        <sz val="10"/>
        <color theme="1"/>
        <rFont val="宋体"/>
        <family val="3"/>
        <charset val="134"/>
      </rPr>
      <t>净利润</t>
    </r>
    <phoneticPr fontId="2" type="noConversion"/>
  </si>
  <si>
    <r>
      <rPr>
        <b/>
        <sz val="10"/>
        <color theme="1"/>
        <rFont val="宋体"/>
        <family val="3"/>
        <charset val="134"/>
      </rPr>
      <t>销售收入</t>
    </r>
    <phoneticPr fontId="2" type="noConversion"/>
  </si>
  <si>
    <r>
      <rPr>
        <b/>
        <sz val="10"/>
        <color theme="1"/>
        <rFont val="宋体"/>
        <family val="3"/>
        <charset val="134"/>
      </rPr>
      <t>平均资产总额</t>
    </r>
    <phoneticPr fontId="2" type="noConversion"/>
  </si>
  <si>
    <r>
      <rPr>
        <b/>
        <sz val="10"/>
        <color theme="1"/>
        <rFont val="宋体"/>
        <family val="3"/>
        <charset val="134"/>
      </rPr>
      <t>负债总额</t>
    </r>
    <phoneticPr fontId="2" type="noConversion"/>
  </si>
  <si>
    <r>
      <rPr>
        <b/>
        <sz val="10"/>
        <color theme="1"/>
        <rFont val="宋体"/>
        <family val="3"/>
        <charset val="134"/>
      </rPr>
      <t>资产总额</t>
    </r>
    <phoneticPr fontId="2" type="noConversion"/>
  </si>
  <si>
    <r>
      <rPr>
        <b/>
        <sz val="10"/>
        <color theme="1"/>
        <rFont val="宋体"/>
        <family val="3"/>
        <charset val="134"/>
      </rPr>
      <t>成本费用</t>
    </r>
    <phoneticPr fontId="2" type="noConversion"/>
  </si>
  <si>
    <r>
      <rPr>
        <b/>
        <sz val="10"/>
        <color theme="1"/>
        <rFont val="宋体"/>
        <family val="3"/>
        <charset val="134"/>
      </rPr>
      <t>其他利润</t>
    </r>
    <phoneticPr fontId="2" type="noConversion"/>
  </si>
  <si>
    <r>
      <rPr>
        <b/>
        <sz val="10"/>
        <color theme="1"/>
        <rFont val="宋体"/>
        <family val="3"/>
        <charset val="134"/>
      </rPr>
      <t>所得税</t>
    </r>
    <phoneticPr fontId="2" type="noConversion"/>
  </si>
  <si>
    <r>
      <rPr>
        <b/>
        <sz val="10"/>
        <color theme="1"/>
        <rFont val="宋体"/>
        <family val="3"/>
        <charset val="134"/>
      </rPr>
      <t>流动负债</t>
    </r>
    <phoneticPr fontId="2" type="noConversion"/>
  </si>
  <si>
    <r>
      <rPr>
        <b/>
        <sz val="10"/>
        <color theme="1"/>
        <rFont val="宋体"/>
        <family val="3"/>
        <charset val="134"/>
      </rPr>
      <t>非流动负债</t>
    </r>
    <phoneticPr fontId="2" type="noConversion"/>
  </si>
  <si>
    <r>
      <rPr>
        <b/>
        <sz val="10"/>
        <color theme="1"/>
        <rFont val="宋体"/>
        <family val="3"/>
        <charset val="134"/>
      </rPr>
      <t>流动资产</t>
    </r>
    <phoneticPr fontId="2" type="noConversion"/>
  </si>
  <si>
    <r>
      <rPr>
        <b/>
        <sz val="10"/>
        <color theme="1"/>
        <rFont val="宋体"/>
        <family val="3"/>
        <charset val="134"/>
      </rPr>
      <t>非流动资产</t>
    </r>
    <phoneticPr fontId="2" type="noConversion"/>
  </si>
  <si>
    <t>净资产收益率</t>
  </si>
  <si>
    <t>归属母公司股东净利润占比</t>
  </si>
  <si>
    <t>净利润</t>
  </si>
  <si>
    <t>证券代码</t>
    <phoneticPr fontId="18" type="noConversion"/>
  </si>
  <si>
    <t>分析日最新收盘价（元）</t>
  </si>
  <si>
    <t>证券简称</t>
    <phoneticPr fontId="18" type="noConversion"/>
  </si>
  <si>
    <t>总股本（百万股）</t>
  </si>
  <si>
    <t>分析日期</t>
    <phoneticPr fontId="18" type="noConversion"/>
  </si>
  <si>
    <t>流通股本（百万股）</t>
    <phoneticPr fontId="18" type="noConversion"/>
  </si>
  <si>
    <t>起始报告</t>
    <phoneticPr fontId="18" type="noConversion"/>
  </si>
  <si>
    <t>流通股比例</t>
    <phoneticPr fontId="18" type="noConversion"/>
  </si>
  <si>
    <t>截止报告</t>
    <phoneticPr fontId="18" type="noConversion"/>
  </si>
  <si>
    <t>总市值（亿元）</t>
    <phoneticPr fontId="18" type="noConversion"/>
  </si>
  <si>
    <t>货币单位</t>
    <phoneticPr fontId="18" type="noConversion"/>
  </si>
  <si>
    <t>流通市值（亿元）</t>
    <phoneticPr fontId="18" type="noConversion"/>
  </si>
  <si>
    <t>说明：</t>
    <phoneticPr fontId="8" type="noConversion"/>
  </si>
  <si>
    <t>1、在“首页”输入证券代码、分析日期,并选择起始报告日期、截止报告日期和货币单位，点击刷新；</t>
    <phoneticPr fontId="8" type="noConversion"/>
  </si>
  <si>
    <t>2、模板会根据输入参数自动提取数据填充到“杜邦分析指标”表和“历史财务报表”表；</t>
    <phoneticPr fontId="8" type="noConversion"/>
  </si>
  <si>
    <t>3、从“杜邦分析指标”表中的杜邦分析指标列表中选择部分或全部指标绘制走势折线图；</t>
    <phoneticPr fontId="8" type="noConversion"/>
  </si>
  <si>
    <t>4、在“杜邦分析图”中选择与上年同期进行对比，将静态的杜邦分析动态化；</t>
    <phoneticPr fontId="8" type="noConversion"/>
  </si>
  <si>
    <t>5、通过杜邦分析确定影响净资产收益率的因素后，在“历史财务报表”表中查询更加细致的变动科目。</t>
    <phoneticPr fontId="8" type="noConversion"/>
  </si>
  <si>
    <t>财务报表</t>
    <phoneticPr fontId="18" type="noConversion"/>
  </si>
  <si>
    <t>报表类型</t>
    <phoneticPr fontId="18" type="noConversion"/>
  </si>
  <si>
    <t>新准则利润表</t>
    <phoneticPr fontId="18" type="noConversion"/>
  </si>
  <si>
    <t>一、营业总收入</t>
    <phoneticPr fontId="18" type="noConversion"/>
  </si>
  <si>
    <t xml:space="preserve">                营业收入</t>
    <phoneticPr fontId="18" type="noConversion"/>
  </si>
  <si>
    <t xml:space="preserve">                利息收入</t>
    <phoneticPr fontId="18" type="noConversion"/>
  </si>
  <si>
    <t xml:space="preserve">                已赚保费</t>
    <phoneticPr fontId="18" type="noConversion"/>
  </si>
  <si>
    <t xml:space="preserve">                手续费及佣金收入</t>
    <phoneticPr fontId="18" type="noConversion"/>
  </si>
  <si>
    <t>二、营业总成本</t>
    <phoneticPr fontId="18" type="noConversion"/>
  </si>
  <si>
    <t xml:space="preserve">                营业成本</t>
    <phoneticPr fontId="18" type="noConversion"/>
  </si>
  <si>
    <t xml:space="preserve">                利息支出</t>
    <phoneticPr fontId="18" type="noConversion"/>
  </si>
  <si>
    <t xml:space="preserve">                手续费及佣金支出</t>
    <phoneticPr fontId="18" type="noConversion"/>
  </si>
  <si>
    <t xml:space="preserve">                退保金</t>
    <phoneticPr fontId="18" type="noConversion"/>
  </si>
  <si>
    <t xml:space="preserve">                赔付支出净额</t>
    <phoneticPr fontId="18" type="noConversion"/>
  </si>
  <si>
    <t xml:space="preserve">                提取保险合同准备金净额</t>
    <phoneticPr fontId="18" type="noConversion"/>
  </si>
  <si>
    <t xml:space="preserve">                保单红利支出</t>
    <phoneticPr fontId="18" type="noConversion"/>
  </si>
  <si>
    <t xml:space="preserve">                分保费用</t>
    <phoneticPr fontId="18" type="noConversion"/>
  </si>
  <si>
    <t xml:space="preserve">                营业税金及附加</t>
    <phoneticPr fontId="18" type="noConversion"/>
  </si>
  <si>
    <t xml:space="preserve">                销售费用</t>
    <phoneticPr fontId="18" type="noConversion"/>
  </si>
  <si>
    <t xml:space="preserve">                管理费用</t>
    <phoneticPr fontId="18" type="noConversion"/>
  </si>
  <si>
    <t xml:space="preserve">                财务费用</t>
    <phoneticPr fontId="18" type="noConversion"/>
  </si>
  <si>
    <t xml:space="preserve">                资产减值损失</t>
    <phoneticPr fontId="18" type="noConversion"/>
  </si>
  <si>
    <t>三、其他经营收益</t>
    <phoneticPr fontId="18" type="noConversion"/>
  </si>
  <si>
    <t xml:space="preserve">                公允价值变动净收益</t>
    <phoneticPr fontId="18" type="noConversion"/>
  </si>
  <si>
    <t xml:space="preserve">                投资净收益</t>
    <phoneticPr fontId="18" type="noConversion"/>
  </si>
  <si>
    <t xml:space="preserve">                其中：对联营企业和合营企业的投资收益</t>
    <phoneticPr fontId="18" type="noConversion"/>
  </si>
  <si>
    <t xml:space="preserve">                汇兑净收益</t>
    <phoneticPr fontId="18" type="noConversion"/>
  </si>
  <si>
    <r>
      <t xml:space="preserve">                </t>
    </r>
    <r>
      <rPr>
        <sz val="9"/>
        <rFont val="微软雅黑"/>
        <family val="2"/>
        <charset val="134"/>
      </rPr>
      <t>加：营业利润差额（平衡项目）</t>
    </r>
    <phoneticPr fontId="18" type="noConversion"/>
  </si>
  <si>
    <t>四、营业利润</t>
    <phoneticPr fontId="18" type="noConversion"/>
  </si>
  <si>
    <t xml:space="preserve">                加：营业外收入</t>
    <phoneticPr fontId="18" type="noConversion"/>
  </si>
  <si>
    <t xml:space="preserve">                减：营业外支出</t>
    <phoneticPr fontId="18" type="noConversion"/>
  </si>
  <si>
    <t xml:space="preserve">                其中：非流动资产处置净损失</t>
    <phoneticPr fontId="18" type="noConversion"/>
  </si>
  <si>
    <r>
      <t xml:space="preserve">                </t>
    </r>
    <r>
      <rPr>
        <sz val="9"/>
        <rFont val="微软雅黑"/>
        <family val="2"/>
        <charset val="134"/>
      </rPr>
      <t>加：利润总额差额（平衡项目）</t>
    </r>
    <phoneticPr fontId="18" type="noConversion"/>
  </si>
  <si>
    <t>五、利润总额</t>
    <phoneticPr fontId="18" type="noConversion"/>
  </si>
  <si>
    <t xml:space="preserve">                减：所得税</t>
    <phoneticPr fontId="18" type="noConversion"/>
  </si>
  <si>
    <t xml:space="preserve">                加：未确认的投资损失</t>
    <phoneticPr fontId="18" type="noConversion"/>
  </si>
  <si>
    <r>
      <t xml:space="preserve">                </t>
    </r>
    <r>
      <rPr>
        <sz val="9"/>
        <rFont val="微软雅黑"/>
        <family val="2"/>
        <charset val="134"/>
      </rPr>
      <t>加：净利润差额（平衡项目）</t>
    </r>
    <phoneticPr fontId="18" type="noConversion"/>
  </si>
  <si>
    <t>六、净利润</t>
    <phoneticPr fontId="18" type="noConversion"/>
  </si>
  <si>
    <t xml:space="preserve">                减：少数股东损益</t>
    <phoneticPr fontId="18" type="noConversion"/>
  </si>
  <si>
    <t xml:space="preserve">                归属母公司所有者的净利润</t>
    <phoneticPr fontId="18" type="noConversion"/>
  </si>
  <si>
    <t>七、每股收益：</t>
    <phoneticPr fontId="18" type="noConversion"/>
  </si>
  <si>
    <t xml:space="preserve">                （一）基本每股收益（元）</t>
    <phoneticPr fontId="18" type="noConversion"/>
  </si>
  <si>
    <t xml:space="preserve">                （二）稀释每股收益（元）</t>
    <phoneticPr fontId="18" type="noConversion"/>
  </si>
  <si>
    <t>新准则资产负债表</t>
    <phoneticPr fontId="18" type="noConversion"/>
  </si>
  <si>
    <t xml:space="preserve">     流动资产：</t>
    <phoneticPr fontId="18" type="noConversion"/>
  </si>
  <si>
    <t xml:space="preserve">                货币资金</t>
    <phoneticPr fontId="18" type="noConversion"/>
  </si>
  <si>
    <t xml:space="preserve">                结算备付金</t>
    <phoneticPr fontId="18" type="noConversion"/>
  </si>
  <si>
    <t xml:space="preserve">                拆出资金</t>
    <phoneticPr fontId="18" type="noConversion"/>
  </si>
  <si>
    <t xml:space="preserve">                交易性金融资产</t>
    <phoneticPr fontId="18" type="noConversion"/>
  </si>
  <si>
    <t xml:space="preserve">                应收票据</t>
    <phoneticPr fontId="18" type="noConversion"/>
  </si>
  <si>
    <t xml:space="preserve">                应收账款</t>
    <phoneticPr fontId="18" type="noConversion"/>
  </si>
  <si>
    <t xml:space="preserve">                预付款项</t>
    <phoneticPr fontId="18" type="noConversion"/>
  </si>
  <si>
    <t xml:space="preserve">                应收保费</t>
    <phoneticPr fontId="18" type="noConversion"/>
  </si>
  <si>
    <t xml:space="preserve">                应收分保账款</t>
    <phoneticPr fontId="18" type="noConversion"/>
  </si>
  <si>
    <t xml:space="preserve">                应收分保合同准备金</t>
    <phoneticPr fontId="18" type="noConversion"/>
  </si>
  <si>
    <t xml:space="preserve">                应收利息</t>
    <phoneticPr fontId="18" type="noConversion"/>
  </si>
  <si>
    <t xml:space="preserve">                其他应收款</t>
    <phoneticPr fontId="18" type="noConversion"/>
  </si>
  <si>
    <t xml:space="preserve">                应收股利</t>
    <phoneticPr fontId="18" type="noConversion"/>
  </si>
  <si>
    <r>
      <t xml:space="preserve">                </t>
    </r>
    <r>
      <rPr>
        <sz val="9"/>
        <rFont val="微软雅黑"/>
        <family val="2"/>
        <charset val="134"/>
      </rPr>
      <t>买入返售金融资产</t>
    </r>
    <phoneticPr fontId="18" type="noConversion"/>
  </si>
  <si>
    <t xml:space="preserve">                存货</t>
    <phoneticPr fontId="18" type="noConversion"/>
  </si>
  <si>
    <t xml:space="preserve">                其中：消耗性生物资产</t>
    <phoneticPr fontId="18" type="noConversion"/>
  </si>
  <si>
    <t xml:space="preserve">                一年内到期的非流动资产</t>
    <phoneticPr fontId="18" type="noConversion"/>
  </si>
  <si>
    <t xml:space="preserve">                待摊费用</t>
    <phoneticPr fontId="18" type="noConversion"/>
  </si>
  <si>
    <t xml:space="preserve">                其他流动资产</t>
    <phoneticPr fontId="18" type="noConversion"/>
  </si>
  <si>
    <r>
      <t xml:space="preserve">                </t>
    </r>
    <r>
      <rPr>
        <sz val="9"/>
        <rFont val="微软雅黑"/>
        <family val="2"/>
        <charset val="134"/>
      </rPr>
      <t>流动资产差额（平衡项目）</t>
    </r>
    <phoneticPr fontId="18" type="noConversion"/>
  </si>
  <si>
    <t xml:space="preserve">                流动资产合计</t>
    <phoneticPr fontId="18" type="noConversion"/>
  </si>
  <si>
    <t xml:space="preserve">     非流动资产：</t>
    <phoneticPr fontId="18" type="noConversion"/>
  </si>
  <si>
    <t xml:space="preserve">                发放贷款及垫款</t>
    <phoneticPr fontId="18" type="noConversion"/>
  </si>
  <si>
    <t xml:space="preserve">                可供出售金融资产</t>
    <phoneticPr fontId="18" type="noConversion"/>
  </si>
  <si>
    <t xml:space="preserve">                持有至到期投资</t>
    <phoneticPr fontId="18" type="noConversion"/>
  </si>
  <si>
    <t xml:space="preserve">                长期应收款</t>
    <phoneticPr fontId="18" type="noConversion"/>
  </si>
  <si>
    <t xml:space="preserve">                长期股权投资</t>
    <phoneticPr fontId="18" type="noConversion"/>
  </si>
  <si>
    <t xml:space="preserve">                投资性房地产</t>
    <phoneticPr fontId="18" type="noConversion"/>
  </si>
  <si>
    <t xml:space="preserve">                固定资产</t>
    <phoneticPr fontId="18" type="noConversion"/>
  </si>
  <si>
    <t xml:space="preserve">                在建工程</t>
    <phoneticPr fontId="18" type="noConversion"/>
  </si>
  <si>
    <t xml:space="preserve">                工程物资</t>
    <phoneticPr fontId="18" type="noConversion"/>
  </si>
  <si>
    <t xml:space="preserve">                固定资产清理</t>
    <phoneticPr fontId="18" type="noConversion"/>
  </si>
  <si>
    <t xml:space="preserve">                生产性生物资产</t>
    <phoneticPr fontId="18" type="noConversion"/>
  </si>
  <si>
    <t xml:space="preserve">                油气资产</t>
    <phoneticPr fontId="18" type="noConversion"/>
  </si>
  <si>
    <t xml:space="preserve">                无形资产</t>
    <phoneticPr fontId="18" type="noConversion"/>
  </si>
  <si>
    <t xml:space="preserve">                开发支出</t>
    <phoneticPr fontId="18" type="noConversion"/>
  </si>
  <si>
    <t xml:space="preserve">                商誉</t>
    <phoneticPr fontId="18" type="noConversion"/>
  </si>
  <si>
    <t xml:space="preserve">                长期待摊费用</t>
    <phoneticPr fontId="18" type="noConversion"/>
  </si>
  <si>
    <t xml:space="preserve">                递延所得税资产</t>
    <phoneticPr fontId="18" type="noConversion"/>
  </si>
  <si>
    <t xml:space="preserve">                其他非流动资产</t>
    <phoneticPr fontId="18" type="noConversion"/>
  </si>
  <si>
    <r>
      <t xml:space="preserve">                </t>
    </r>
    <r>
      <rPr>
        <sz val="9"/>
        <rFont val="微软雅黑"/>
        <family val="2"/>
        <charset val="134"/>
      </rPr>
      <t>非流动资产差额（平衡项目）</t>
    </r>
    <phoneticPr fontId="18" type="noConversion"/>
  </si>
  <si>
    <t xml:space="preserve">                非流动资产合计</t>
    <phoneticPr fontId="18" type="noConversion"/>
  </si>
  <si>
    <r>
      <t xml:space="preserve">                </t>
    </r>
    <r>
      <rPr>
        <sz val="9"/>
        <rFont val="微软雅黑"/>
        <family val="2"/>
        <charset val="134"/>
      </rPr>
      <t>资产差额（平衡项目）</t>
    </r>
    <phoneticPr fontId="18" type="noConversion"/>
  </si>
  <si>
    <t xml:space="preserve">                资产总计</t>
    <phoneticPr fontId="18" type="noConversion"/>
  </si>
  <si>
    <t xml:space="preserve">     流动负债：</t>
    <phoneticPr fontId="18" type="noConversion"/>
  </si>
  <si>
    <t xml:space="preserve">                短期借贷</t>
    <phoneticPr fontId="18" type="noConversion"/>
  </si>
  <si>
    <r>
      <t xml:space="preserve">                </t>
    </r>
    <r>
      <rPr>
        <sz val="9"/>
        <rFont val="微软雅黑"/>
        <family val="2"/>
        <charset val="134"/>
      </rPr>
      <t>向中央银行借款</t>
    </r>
    <phoneticPr fontId="18" type="noConversion"/>
  </si>
  <si>
    <t xml:space="preserve">                吸收存款及同业存放</t>
    <phoneticPr fontId="18" type="noConversion"/>
  </si>
  <si>
    <t xml:space="preserve">                拆入资金</t>
    <phoneticPr fontId="18" type="noConversion"/>
  </si>
  <si>
    <t xml:space="preserve">                交易性金融负债</t>
    <phoneticPr fontId="18" type="noConversion"/>
  </si>
  <si>
    <t xml:space="preserve">                应付票据</t>
    <phoneticPr fontId="18" type="noConversion"/>
  </si>
  <si>
    <t xml:space="preserve">                应付账款</t>
    <phoneticPr fontId="18" type="noConversion"/>
  </si>
  <si>
    <t xml:space="preserve">                预收款项</t>
    <phoneticPr fontId="18" type="noConversion"/>
  </si>
  <si>
    <t xml:space="preserve">                卖出回购金融资产款</t>
    <phoneticPr fontId="18" type="noConversion"/>
  </si>
  <si>
    <t xml:space="preserve">                应付手续费及佣金</t>
    <phoneticPr fontId="18" type="noConversion"/>
  </si>
  <si>
    <t xml:space="preserve">                应付职工薪酬</t>
    <phoneticPr fontId="18" type="noConversion"/>
  </si>
  <si>
    <t xml:space="preserve">                应交税费</t>
    <phoneticPr fontId="18" type="noConversion"/>
  </si>
  <si>
    <t xml:space="preserve">                应付利息</t>
    <phoneticPr fontId="18" type="noConversion"/>
  </si>
  <si>
    <t xml:space="preserve">                其他应付款</t>
    <phoneticPr fontId="18" type="noConversion"/>
  </si>
  <si>
    <t xml:space="preserve">                应付分保账款</t>
    <phoneticPr fontId="18" type="noConversion"/>
  </si>
  <si>
    <t xml:space="preserve">                保险合同准备金</t>
    <phoneticPr fontId="18" type="noConversion"/>
  </si>
  <si>
    <t xml:space="preserve">                代理买卖证券款</t>
    <phoneticPr fontId="18" type="noConversion"/>
  </si>
  <si>
    <t xml:space="preserve">                代理承销证券款</t>
    <phoneticPr fontId="18" type="noConversion"/>
  </si>
  <si>
    <t xml:space="preserve">                一年内到期的非流动负债</t>
    <phoneticPr fontId="18" type="noConversion"/>
  </si>
  <si>
    <t xml:space="preserve">                应付股利</t>
    <phoneticPr fontId="18" type="noConversion"/>
  </si>
  <si>
    <t xml:space="preserve">                预提费用</t>
    <phoneticPr fontId="18" type="noConversion"/>
  </si>
  <si>
    <t xml:space="preserve">                递延收益-流动负债</t>
    <phoneticPr fontId="18" type="noConversion"/>
  </si>
  <si>
    <t xml:space="preserve">                应付短期债券</t>
    <phoneticPr fontId="18" type="noConversion"/>
  </si>
  <si>
    <t xml:space="preserve">                其他流动负债</t>
    <phoneticPr fontId="18" type="noConversion"/>
  </si>
  <si>
    <r>
      <t xml:space="preserve">                </t>
    </r>
    <r>
      <rPr>
        <sz val="9"/>
        <rFont val="微软雅黑"/>
        <family val="2"/>
        <charset val="134"/>
      </rPr>
      <t>流动负债差额（平衡项目）</t>
    </r>
    <phoneticPr fontId="18" type="noConversion"/>
  </si>
  <si>
    <t xml:space="preserve">                流动负债合计</t>
    <phoneticPr fontId="18" type="noConversion"/>
  </si>
  <si>
    <t xml:space="preserve">     非流动负债：</t>
    <phoneticPr fontId="18" type="noConversion"/>
  </si>
  <si>
    <t xml:space="preserve">                长期借款</t>
    <phoneticPr fontId="18" type="noConversion"/>
  </si>
  <si>
    <t xml:space="preserve">                应付债券</t>
    <phoneticPr fontId="18" type="noConversion"/>
  </si>
  <si>
    <t xml:space="preserve">                长期应付款</t>
    <phoneticPr fontId="18" type="noConversion"/>
  </si>
  <si>
    <t xml:space="preserve">                专项应付款</t>
    <phoneticPr fontId="18" type="noConversion"/>
  </si>
  <si>
    <t xml:space="preserve">                预计负债</t>
    <phoneticPr fontId="18" type="noConversion"/>
  </si>
  <si>
    <t xml:space="preserve">                递延所得税负债</t>
    <phoneticPr fontId="18" type="noConversion"/>
  </si>
  <si>
    <t xml:space="preserve">                其他非流动负债</t>
    <phoneticPr fontId="18" type="noConversion"/>
  </si>
  <si>
    <t xml:space="preserve">                非流动负债差额（平衡项目）</t>
    <phoneticPr fontId="18" type="noConversion"/>
  </si>
  <si>
    <t xml:space="preserve">                非流动负债合计</t>
    <phoneticPr fontId="18" type="noConversion"/>
  </si>
  <si>
    <t xml:space="preserve">                负债差额（平衡项目）</t>
    <phoneticPr fontId="18" type="noConversion"/>
  </si>
  <si>
    <t xml:space="preserve">                负债合计</t>
    <phoneticPr fontId="18" type="noConversion"/>
  </si>
  <si>
    <t xml:space="preserve">     所有者权益（或股东权益）：</t>
    <phoneticPr fontId="18" type="noConversion"/>
  </si>
  <si>
    <t xml:space="preserve">                实收资本（或股本）</t>
    <phoneticPr fontId="18" type="noConversion"/>
  </si>
  <si>
    <t xml:space="preserve">                资本公积金</t>
    <phoneticPr fontId="18" type="noConversion"/>
  </si>
  <si>
    <t xml:space="preserve">                减：库存股</t>
    <phoneticPr fontId="18" type="noConversion"/>
  </si>
  <si>
    <t xml:space="preserve">                盈余公积金</t>
    <phoneticPr fontId="18" type="noConversion"/>
  </si>
  <si>
    <t xml:space="preserve">                一般风险准备</t>
    <phoneticPr fontId="18" type="noConversion"/>
  </si>
  <si>
    <t xml:space="preserve">                未分配利润</t>
    <phoneticPr fontId="18" type="noConversion"/>
  </si>
  <si>
    <t xml:space="preserve">                外币报表折算差额</t>
    <phoneticPr fontId="18" type="noConversion"/>
  </si>
  <si>
    <t xml:space="preserve">                未确认的投资损失</t>
    <phoneticPr fontId="18" type="noConversion"/>
  </si>
  <si>
    <t xml:space="preserve">                少数股东权益</t>
    <phoneticPr fontId="18" type="noConversion"/>
  </si>
  <si>
    <t xml:space="preserve">                股东权益差额（平衡项目）</t>
    <phoneticPr fontId="18" type="noConversion"/>
  </si>
  <si>
    <t xml:space="preserve">                归属母公司所有者权益合计</t>
    <phoneticPr fontId="18" type="noConversion"/>
  </si>
  <si>
    <t xml:space="preserve">                所有者权益合计</t>
    <phoneticPr fontId="18" type="noConversion"/>
  </si>
  <si>
    <t xml:space="preserve">                负债及股东权益差额（平衡项目）</t>
    <phoneticPr fontId="18" type="noConversion"/>
  </si>
  <si>
    <t xml:space="preserve">                负债和所有者权益合计</t>
    <phoneticPr fontId="18" type="noConversion"/>
  </si>
  <si>
    <t>新准则现金流量表</t>
    <phoneticPr fontId="18" type="noConversion"/>
  </si>
  <si>
    <t>一、经营活动产生的现金流量：</t>
    <phoneticPr fontId="18" type="noConversion"/>
  </si>
  <si>
    <t xml:space="preserve">                销售商品、提供劳务收到的现金</t>
    <phoneticPr fontId="18" type="noConversion"/>
  </si>
  <si>
    <t xml:space="preserve">                收到得税费返还</t>
    <phoneticPr fontId="18" type="noConversion"/>
  </si>
  <si>
    <t xml:space="preserve">                收到其他与经营活动有关的现金</t>
    <phoneticPr fontId="18" type="noConversion"/>
  </si>
  <si>
    <t xml:space="preserve">                经营活动现金流入差额（平衡项目）</t>
    <phoneticPr fontId="18" type="noConversion"/>
  </si>
  <si>
    <t xml:space="preserve">                经营活动现金流入小计</t>
    <phoneticPr fontId="18" type="noConversion"/>
  </si>
  <si>
    <t xml:space="preserve">                购买商品、接受劳务支付的现金</t>
    <phoneticPr fontId="18" type="noConversion"/>
  </si>
  <si>
    <t xml:space="preserve">                支付给职工以及为职工支付的现金</t>
    <phoneticPr fontId="18" type="noConversion"/>
  </si>
  <si>
    <t xml:space="preserve">                支付的各项税费</t>
    <phoneticPr fontId="18" type="noConversion"/>
  </si>
  <si>
    <t xml:space="preserve">                支付其他与经营活动有关的现金</t>
    <phoneticPr fontId="18" type="noConversion"/>
  </si>
  <si>
    <t xml:space="preserve">                经营活动现金流出差额（平衡项目）</t>
    <phoneticPr fontId="18" type="noConversion"/>
  </si>
  <si>
    <t xml:space="preserve">                经营活动现金流出小计</t>
    <phoneticPr fontId="18" type="noConversion"/>
  </si>
  <si>
    <t xml:space="preserve">                经营活动产生的现金流量净额差额（平衡项目）</t>
    <phoneticPr fontId="18" type="noConversion"/>
  </si>
  <si>
    <t xml:space="preserve">                经营活动产生的现金流量净额</t>
    <phoneticPr fontId="18" type="noConversion"/>
  </si>
  <si>
    <t>二、投资活动产生的现金流量</t>
    <phoneticPr fontId="18" type="noConversion"/>
  </si>
  <si>
    <t xml:space="preserve">                收回投资收到的现金</t>
    <phoneticPr fontId="18" type="noConversion"/>
  </si>
  <si>
    <t xml:space="preserve">                取得投资收益收到的现金</t>
    <phoneticPr fontId="18" type="noConversion"/>
  </si>
  <si>
    <t xml:space="preserve">                处置固定资产、无形资产和其他长期资产收到的现金净额</t>
    <phoneticPr fontId="18" type="noConversion"/>
  </si>
  <si>
    <t xml:space="preserve">                处置子公司及其他经营单位收到的现金净额</t>
    <phoneticPr fontId="18" type="noConversion"/>
  </si>
  <si>
    <t xml:space="preserve">                收到其他与投资活动有关的现金</t>
    <phoneticPr fontId="18" type="noConversion"/>
  </si>
  <si>
    <t xml:space="preserve">                投资活动现金流入差额（平衡项目）</t>
    <phoneticPr fontId="18" type="noConversion"/>
  </si>
  <si>
    <t xml:space="preserve">                投资活动现金流入小计</t>
    <phoneticPr fontId="18" type="noConversion"/>
  </si>
  <si>
    <t xml:space="preserve">                购建固定资产、无形资产和其他长期资产支付的现金</t>
    <phoneticPr fontId="18" type="noConversion"/>
  </si>
  <si>
    <t xml:space="preserve">                投资支付的现金</t>
    <phoneticPr fontId="18" type="noConversion"/>
  </si>
  <si>
    <t xml:space="preserve">                取得子公司及其他营业单位支付的现金净额</t>
    <phoneticPr fontId="18" type="noConversion"/>
  </si>
  <si>
    <t xml:space="preserve">                支付其他与投资活动有关的现金</t>
    <phoneticPr fontId="18" type="noConversion"/>
  </si>
  <si>
    <t xml:space="preserve">                投资活动现金流出差额（平衡项目）</t>
    <phoneticPr fontId="18" type="noConversion"/>
  </si>
  <si>
    <t xml:space="preserve">                投资活动现金流出小计</t>
    <phoneticPr fontId="18" type="noConversion"/>
  </si>
  <si>
    <t xml:space="preserve">                投资活动产生的现金流量净额差额（平衡项目）</t>
    <phoneticPr fontId="18" type="noConversion"/>
  </si>
  <si>
    <t xml:space="preserve">                投资活动产生的现金流量净额</t>
    <phoneticPr fontId="18" type="noConversion"/>
  </si>
  <si>
    <t>三、筹资活动产生的现金流量</t>
    <phoneticPr fontId="18" type="noConversion"/>
  </si>
  <si>
    <t xml:space="preserve">                吸收投资收到的现金</t>
    <phoneticPr fontId="18" type="noConversion"/>
  </si>
  <si>
    <t xml:space="preserve">                其中：子公司吸收少数股东投资收到的现金</t>
    <phoneticPr fontId="18" type="noConversion"/>
  </si>
  <si>
    <t xml:space="preserve">                取得借款收到的现金</t>
    <phoneticPr fontId="18" type="noConversion"/>
  </si>
  <si>
    <t xml:space="preserve">                收到其他与筹资活动有关的现金</t>
    <phoneticPr fontId="18" type="noConversion"/>
  </si>
  <si>
    <t xml:space="preserve">                发行债券收到的现金</t>
    <phoneticPr fontId="18" type="noConversion"/>
  </si>
  <si>
    <t xml:space="preserve">                筹资活动现金流入差额(平衡项目)</t>
    <phoneticPr fontId="18" type="noConversion"/>
  </si>
  <si>
    <t xml:space="preserve">                筹资活动现金流入小计</t>
    <phoneticPr fontId="18" type="noConversion"/>
  </si>
  <si>
    <t xml:space="preserve">                偿还债务支付的现金</t>
    <phoneticPr fontId="18" type="noConversion"/>
  </si>
  <si>
    <t xml:space="preserve">                分配股利、利润或偿付利息支付的现金</t>
    <phoneticPr fontId="18" type="noConversion"/>
  </si>
  <si>
    <t xml:space="preserve">                其中：子公司支付给少数股东的股利、利润</t>
    <phoneticPr fontId="18" type="noConversion"/>
  </si>
  <si>
    <t xml:space="preserve">                支付其他与筹资活动有关的现金</t>
    <phoneticPr fontId="18" type="noConversion"/>
  </si>
  <si>
    <t xml:space="preserve">                筹资活动现金流出差额(平衡项目)</t>
    <phoneticPr fontId="18" type="noConversion"/>
  </si>
  <si>
    <t xml:space="preserve">                筹资活动现金流出小计</t>
    <phoneticPr fontId="18" type="noConversion"/>
  </si>
  <si>
    <t xml:space="preserve">                筹资活动产生的现金流量净额差额(平衡项目)</t>
    <phoneticPr fontId="18" type="noConversion"/>
  </si>
  <si>
    <t xml:space="preserve">                筹资活动产生的现金流量净额</t>
    <phoneticPr fontId="18" type="noConversion"/>
  </si>
  <si>
    <t>四、现金及现金等价物净增加：</t>
    <phoneticPr fontId="18" type="noConversion"/>
  </si>
  <si>
    <t xml:space="preserve">                汇率变动对现金的影响</t>
    <phoneticPr fontId="18" type="noConversion"/>
  </si>
  <si>
    <t xml:space="preserve">                直接法-现金及现金等价物净增加额差额(平衡项目)</t>
    <phoneticPr fontId="18" type="noConversion"/>
  </si>
  <si>
    <t xml:space="preserve">                现金及现金等价物净增加额</t>
    <phoneticPr fontId="18" type="noConversion"/>
  </si>
  <si>
    <t xml:space="preserve">                期初现金及现金等价物余额</t>
    <phoneticPr fontId="18" type="noConversion"/>
  </si>
  <si>
    <t xml:space="preserve">                期末现金及现金等价物余额</t>
    <phoneticPr fontId="18" type="noConversion"/>
  </si>
  <si>
    <t>杜邦分析指标</t>
    <phoneticPr fontId="18" type="noConversion"/>
  </si>
  <si>
    <t>点击浏览</t>
    <phoneticPr fontId="1" type="noConversion"/>
  </si>
  <si>
    <t>资产净利率</t>
  </si>
  <si>
    <t>权益乘数</t>
  </si>
  <si>
    <t>销售净利率</t>
  </si>
  <si>
    <t>资产周转率</t>
  </si>
  <si>
    <t>资产负债率</t>
  </si>
  <si>
    <t>归属母公司净利润</t>
  </si>
  <si>
    <t>净利润</t>
    <phoneticPr fontId="18" type="noConversion"/>
  </si>
  <si>
    <t>销售收入</t>
    <phoneticPr fontId="18" type="noConversion"/>
  </si>
  <si>
    <t>平均资产总额</t>
    <phoneticPr fontId="18" type="noConversion"/>
  </si>
  <si>
    <t>负债总额</t>
    <phoneticPr fontId="18" type="noConversion"/>
  </si>
  <si>
    <t>资产总额</t>
    <phoneticPr fontId="18" type="noConversion"/>
  </si>
  <si>
    <t>成本费用</t>
    <phoneticPr fontId="18" type="noConversion"/>
  </si>
  <si>
    <t>其他利润</t>
    <phoneticPr fontId="18" type="noConversion"/>
  </si>
  <si>
    <t>所得税</t>
    <phoneticPr fontId="18" type="noConversion"/>
  </si>
  <si>
    <t>流动负债</t>
    <phoneticPr fontId="18" type="noConversion"/>
  </si>
  <si>
    <t>非流动负债</t>
    <phoneticPr fontId="18" type="noConversion"/>
  </si>
  <si>
    <t>流动资产</t>
    <phoneticPr fontId="18" type="noConversion"/>
  </si>
  <si>
    <t>非流动资产</t>
    <phoneticPr fontId="18" type="noConversion"/>
  </si>
  <si>
    <t>绘制折线图</t>
    <phoneticPr fontId="18" type="noConversion"/>
  </si>
  <si>
    <t>603888.SH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</si>
</sst>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0.00_ ;[Red]\-#,##0.00\ "/>
    <numFmt numFmtId="177" formatCode="#,##0.00_ ;[Red]\-#,##0.00"/>
    <numFmt numFmtId="178" formatCode="0.00_ "/>
    <numFmt numFmtId="179" formatCode="yyyy\-m\-d"/>
    <numFmt numFmtId="180" formatCode="yyyy\-mm\-dd"/>
    <numFmt numFmtId="181" formatCode="0.00%;[Red]\-0.00%"/>
    <numFmt numFmtId="182" formatCode="0.00_ ;[Red]\-0.00\ "/>
  </numFmts>
  <fonts count="5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8"/>
      <name val="宋体"/>
      <family val="3"/>
      <charset val="134"/>
    </font>
    <font>
      <sz val="9"/>
      <color indexed="8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  <font>
      <sz val="10"/>
      <color theme="1"/>
      <name val="宋体"/>
      <family val="2"/>
      <scheme val="minor"/>
    </font>
    <font>
      <u/>
      <sz val="11"/>
      <color theme="10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b/>
      <sz val="8"/>
      <color theme="1"/>
      <name val="Arial"/>
      <family val="2"/>
    </font>
    <font>
      <sz val="9"/>
      <color rgb="FF000000"/>
      <name val="Microsoft YaHei UI"/>
      <family val="2"/>
      <charset val="134"/>
    </font>
    <font>
      <sz val="9"/>
      <name val="宋体"/>
      <family val="2"/>
      <charset val="134"/>
      <scheme val="minor"/>
    </font>
    <font>
      <b/>
      <sz val="10"/>
      <color theme="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9"/>
      <color indexed="8"/>
      <name val="Calibri"/>
      <family val="2"/>
    </font>
    <font>
      <sz val="10"/>
      <color indexed="8"/>
      <name val="Calibri"/>
      <family val="2"/>
    </font>
    <font>
      <sz val="11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1"/>
      <color indexed="9"/>
      <name val="微软雅黑"/>
      <family val="2"/>
      <charset val="134"/>
    </font>
    <font>
      <sz val="20"/>
      <color indexed="8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0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9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b/>
      <sz val="8"/>
      <color theme="1"/>
      <name val="微软雅黑"/>
      <family val="2"/>
      <charset val="134"/>
    </font>
    <font>
      <sz val="9"/>
      <color theme="0"/>
      <name val="微软雅黑"/>
      <family val="2"/>
      <charset val="134"/>
    </font>
    <font>
      <sz val="9"/>
      <name val="微软雅黑"/>
      <family val="2"/>
      <charset val="134"/>
    </font>
    <font>
      <b/>
      <sz val="9"/>
      <name val="微软雅黑"/>
      <family val="2"/>
      <charset val="134"/>
    </font>
    <font>
      <b/>
      <sz val="8"/>
      <color indexed="8"/>
      <name val="微软雅黑"/>
      <family val="2"/>
      <charset val="134"/>
    </font>
    <font>
      <u/>
      <sz val="10"/>
      <color indexed="12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8"/>
      <color theme="0"/>
      <name val="微软雅黑"/>
      <family val="2"/>
      <charset val="134"/>
    </font>
    <font>
      <b/>
      <sz val="12"/>
      <color indexed="9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E8EEF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385DA1"/>
        <bgColor indexed="64"/>
      </patternFill>
    </fill>
    <fill>
      <patternFill patternType="solid">
        <fgColor rgb="FFFFFCCC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C5D2DB"/>
      </left>
      <right style="thin">
        <color rgb="FFC5D2DB"/>
      </right>
      <top style="thin">
        <color rgb="FFC5D2DB"/>
      </top>
      <bottom/>
      <diagonal/>
    </border>
    <border>
      <left style="thin">
        <color rgb="FFC5D2DB"/>
      </left>
      <right style="thin">
        <color rgb="FFC5D2DB"/>
      </right>
      <top style="thin">
        <color rgb="FFC5D2DB"/>
      </top>
      <bottom style="thin">
        <color rgb="FFC5D2DB"/>
      </bottom>
      <diagonal/>
    </border>
    <border>
      <left style="medium">
        <color rgb="FFC5D2DB"/>
      </left>
      <right style="medium">
        <color rgb="FFC5D2DB"/>
      </right>
      <top style="medium">
        <color rgb="FFC5D2DB"/>
      </top>
      <bottom style="thin">
        <color rgb="FFC5D2DB"/>
      </bottom>
      <diagonal/>
    </border>
    <border>
      <left style="medium">
        <color rgb="FFC5D2DB"/>
      </left>
      <right style="medium">
        <color rgb="FFC5D2DB"/>
      </right>
      <top style="thin">
        <color rgb="FFC5D2DB"/>
      </top>
      <bottom style="thin">
        <color rgb="FFC5D2DB"/>
      </bottom>
      <diagonal/>
    </border>
    <border>
      <left style="medium">
        <color rgb="FFC5D2DB"/>
      </left>
      <right style="medium">
        <color rgb="FFC5D2DB"/>
      </right>
      <top style="thin">
        <color rgb="FFC5D2DB"/>
      </top>
      <bottom style="medium">
        <color rgb="FFC5D2DB"/>
      </bottom>
      <diagonal/>
    </border>
    <border>
      <left/>
      <right/>
      <top/>
      <bottom style="medium">
        <color rgb="FF385DA1"/>
      </bottom>
      <diagonal/>
    </border>
    <border>
      <left style="thin">
        <color rgb="FFC5D2DB"/>
      </left>
      <right style="thin">
        <color rgb="FFC5D2DB"/>
      </right>
      <top/>
      <bottom/>
      <diagonal/>
    </border>
    <border>
      <left style="thin">
        <color rgb="FFC5D2DB"/>
      </left>
      <right/>
      <top style="thin">
        <color rgb="FFC5D2DB"/>
      </top>
      <bottom/>
      <diagonal/>
    </border>
    <border>
      <left style="thin">
        <color rgb="FFC5D2DB"/>
      </left>
      <right/>
      <top style="thin">
        <color rgb="FFC5D2DB"/>
      </top>
      <bottom style="thin">
        <color rgb="FFC5D2DB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C5D2DB"/>
      </left>
      <right/>
      <top/>
      <bottom style="thin">
        <color rgb="FFC5D2DB"/>
      </bottom>
      <diagonal/>
    </border>
  </borders>
  <cellStyleXfs count="7">
    <xf numFmtId="0" fontId="0" fillId="0" borderId="0"/>
    <xf numFmtId="0" fontId="10" fillId="0" borderId="0">
      <alignment vertical="center"/>
    </xf>
    <xf numFmtId="0" fontId="11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9" fontId="20" fillId="0" borderId="0" applyFont="0" applyFill="0" applyBorder="0" applyAlignment="0" applyProtection="0"/>
  </cellStyleXfs>
  <cellXfs count="127">
    <xf numFmtId="0" fontId="0" fillId="0" borderId="0" xfId="0"/>
    <xf numFmtId="0" fontId="0" fillId="0" borderId="0" xfId="0" applyBorder="1"/>
    <xf numFmtId="0" fontId="0" fillId="0" borderId="0" xfId="0" applyFill="1"/>
    <xf numFmtId="177" fontId="7" fillId="0" borderId="0" xfId="0" applyNumberFormat="1" applyFont="1"/>
    <xf numFmtId="176" fontId="7" fillId="0" borderId="0" xfId="0" applyNumberFormat="1" applyFont="1"/>
    <xf numFmtId="0" fontId="7" fillId="0" borderId="0" xfId="0" applyFont="1"/>
    <xf numFmtId="177" fontId="6" fillId="0" borderId="0" xfId="0" applyNumberFormat="1" applyFont="1"/>
    <xf numFmtId="0" fontId="6" fillId="0" borderId="0" xfId="0" applyFont="1"/>
    <xf numFmtId="0" fontId="4" fillId="0" borderId="0" xfId="0" applyFont="1" applyFill="1" applyBorder="1"/>
    <xf numFmtId="49" fontId="5" fillId="0" borderId="0" xfId="1" applyNumberFormat="1" applyFont="1" applyFill="1" applyBorder="1" applyAlignment="1">
      <alignment horizontal="left" vertical="center"/>
    </xf>
    <xf numFmtId="177" fontId="9" fillId="0" borderId="0" xfId="0" applyNumberFormat="1" applyFont="1"/>
    <xf numFmtId="177" fontId="12" fillId="0" borderId="0" xfId="0" applyNumberFormat="1" applyFont="1" applyFill="1" applyBorder="1" applyAlignment="1">
      <alignment horizontal="left"/>
    </xf>
    <xf numFmtId="0" fontId="13" fillId="0" borderId="0" xfId="0" applyFont="1" applyAlignment="1">
      <alignment horizontal="left"/>
    </xf>
    <xf numFmtId="177" fontId="3" fillId="0" borderId="0" xfId="0" applyNumberFormat="1" applyFont="1" applyFill="1" applyBorder="1" applyAlignment="1">
      <alignment horizontal="left"/>
    </xf>
    <xf numFmtId="0" fontId="16" fillId="4" borderId="6" xfId="0" applyFont="1" applyFill="1" applyBorder="1" applyAlignment="1">
      <alignment horizontal="center" vertical="center"/>
    </xf>
    <xf numFmtId="180" fontId="16" fillId="0" borderId="0" xfId="0" applyNumberFormat="1" applyFont="1" applyAlignment="1">
      <alignment horizontal="center"/>
    </xf>
    <xf numFmtId="179" fontId="16" fillId="4" borderId="6" xfId="0" applyNumberFormat="1" applyFont="1" applyFill="1" applyBorder="1" applyAlignment="1">
      <alignment horizontal="center" vertical="center"/>
    </xf>
    <xf numFmtId="179" fontId="16" fillId="0" borderId="0" xfId="0" applyNumberFormat="1" applyFont="1" applyAlignment="1">
      <alignment horizontal="center"/>
    </xf>
    <xf numFmtId="0" fontId="13" fillId="0" borderId="0" xfId="0" applyFont="1" applyBorder="1" applyAlignment="1">
      <alignment horizontal="left"/>
    </xf>
    <xf numFmtId="0" fontId="0" fillId="0" borderId="0" xfId="0" applyFill="1" applyBorder="1"/>
    <xf numFmtId="0" fontId="23" fillId="4" borderId="12" xfId="0" applyFont="1" applyFill="1" applyBorder="1" applyAlignment="1">
      <alignment vertical="center"/>
    </xf>
    <xf numFmtId="0" fontId="24" fillId="0" borderId="1" xfId="0" applyFont="1" applyFill="1" applyBorder="1"/>
    <xf numFmtId="0" fontId="21" fillId="0" borderId="4" xfId="0" applyFont="1" applyBorder="1"/>
    <xf numFmtId="0" fontId="25" fillId="0" borderId="4" xfId="0" applyFont="1" applyBorder="1"/>
    <xf numFmtId="14" fontId="24" fillId="0" borderId="14" xfId="0" applyNumberFormat="1" applyFont="1" applyBorder="1"/>
    <xf numFmtId="14" fontId="24" fillId="0" borderId="15" xfId="0" applyNumberFormat="1" applyFont="1" applyBorder="1"/>
    <xf numFmtId="177" fontId="25" fillId="0" borderId="4" xfId="0" quotePrefix="1" applyNumberFormat="1" applyFont="1" applyFill="1" applyBorder="1" applyAlignment="1">
      <alignment horizontal="left"/>
    </xf>
    <xf numFmtId="10" fontId="24" fillId="0" borderId="0" xfId="0" applyNumberFormat="1" applyFont="1" applyBorder="1"/>
    <xf numFmtId="10" fontId="24" fillId="0" borderId="16" xfId="0" applyNumberFormat="1" applyFont="1" applyBorder="1"/>
    <xf numFmtId="177" fontId="25" fillId="0" borderId="0" xfId="0" quotePrefix="1" applyNumberFormat="1" applyFont="1" applyFill="1" applyBorder="1" applyAlignment="1">
      <alignment horizontal="left"/>
    </xf>
    <xf numFmtId="177" fontId="24" fillId="0" borderId="0" xfId="0" applyNumberFormat="1" applyFont="1" applyBorder="1"/>
    <xf numFmtId="177" fontId="24" fillId="0" borderId="16" xfId="0" applyNumberFormat="1" applyFont="1" applyBorder="1"/>
    <xf numFmtId="177" fontId="25" fillId="0" borderId="3" xfId="0" quotePrefix="1" applyNumberFormat="1" applyFont="1" applyFill="1" applyBorder="1" applyAlignment="1">
      <alignment horizontal="left"/>
    </xf>
    <xf numFmtId="177" fontId="24" fillId="0" borderId="3" xfId="0" applyNumberFormat="1" applyFont="1" applyBorder="1"/>
    <xf numFmtId="177" fontId="24" fillId="0" borderId="17" xfId="0" applyNumberFormat="1" applyFont="1" applyBorder="1"/>
    <xf numFmtId="177" fontId="25" fillId="0" borderId="1" xfId="0" applyNumberFormat="1" applyFont="1" applyFill="1" applyBorder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25" fillId="0" borderId="4" xfId="0" applyNumberFormat="1" applyFont="1" applyFill="1" applyBorder="1" applyAlignment="1">
      <alignment horizontal="left"/>
    </xf>
    <xf numFmtId="0" fontId="21" fillId="0" borderId="18" xfId="0" applyFont="1" applyBorder="1"/>
    <xf numFmtId="177" fontId="25" fillId="0" borderId="2" xfId="0" applyNumberFormat="1" applyFont="1" applyFill="1" applyBorder="1" applyAlignment="1">
      <alignment horizontal="left"/>
    </xf>
    <xf numFmtId="0" fontId="22" fillId="0" borderId="3" xfId="0" applyFont="1" applyBorder="1" applyAlignment="1">
      <alignment horizontal="left"/>
    </xf>
    <xf numFmtId="177" fontId="25" fillId="0" borderId="3" xfId="0" applyNumberFormat="1" applyFont="1" applyFill="1" applyBorder="1" applyAlignment="1">
      <alignment horizontal="left"/>
    </xf>
    <xf numFmtId="0" fontId="21" fillId="0" borderId="3" xfId="0" applyFont="1" applyBorder="1"/>
    <xf numFmtId="0" fontId="21" fillId="0" borderId="17" xfId="0" applyFont="1" applyBorder="1"/>
    <xf numFmtId="0" fontId="28" fillId="0" borderId="0" xfId="0" applyFont="1" applyBorder="1"/>
    <xf numFmtId="0" fontId="28" fillId="0" borderId="0" xfId="0" applyFont="1"/>
    <xf numFmtId="0" fontId="28" fillId="0" borderId="0" xfId="3" applyFont="1"/>
    <xf numFmtId="180" fontId="29" fillId="0" borderId="0" xfId="3" applyNumberFormat="1" applyFont="1" applyBorder="1"/>
    <xf numFmtId="0" fontId="30" fillId="0" borderId="0" xfId="3" applyFont="1"/>
    <xf numFmtId="0" fontId="31" fillId="0" borderId="0" xfId="3" applyFont="1"/>
    <xf numFmtId="0" fontId="31" fillId="2" borderId="0" xfId="3" applyFont="1" applyFill="1" applyAlignment="1">
      <alignment vertical="center"/>
    </xf>
    <xf numFmtId="0" fontId="31" fillId="0" borderId="0" xfId="3" applyFont="1" applyBorder="1"/>
    <xf numFmtId="0" fontId="32" fillId="0" borderId="0" xfId="0" applyFont="1" applyBorder="1"/>
    <xf numFmtId="0" fontId="31" fillId="0" borderId="0" xfId="3" applyFont="1" applyFill="1" applyBorder="1"/>
    <xf numFmtId="0" fontId="34" fillId="4" borderId="6" xfId="0" applyFont="1" applyFill="1" applyBorder="1" applyAlignment="1">
      <alignment vertical="center"/>
    </xf>
    <xf numFmtId="0" fontId="34" fillId="4" borderId="13" xfId="0" applyFont="1" applyFill="1" applyBorder="1" applyAlignment="1">
      <alignment vertical="center"/>
    </xf>
    <xf numFmtId="182" fontId="34" fillId="5" borderId="6" xfId="0" applyNumberFormat="1" applyFont="1" applyFill="1" applyBorder="1" applyAlignment="1">
      <alignment vertical="center"/>
    </xf>
    <xf numFmtId="177" fontId="28" fillId="0" borderId="0" xfId="0" applyNumberFormat="1" applyFont="1"/>
    <xf numFmtId="0" fontId="29" fillId="0" borderId="0" xfId="0" applyFont="1" applyBorder="1"/>
    <xf numFmtId="182" fontId="34" fillId="6" borderId="6" xfId="0" applyNumberFormat="1" applyFont="1" applyFill="1" applyBorder="1" applyAlignment="1">
      <alignment vertical="center"/>
    </xf>
    <xf numFmtId="0" fontId="34" fillId="4" borderId="19" xfId="0" applyFont="1" applyFill="1" applyBorder="1" applyAlignment="1">
      <alignment vertical="center"/>
    </xf>
    <xf numFmtId="0" fontId="29" fillId="0" borderId="0" xfId="0" applyNumberFormat="1" applyFont="1" applyBorder="1"/>
    <xf numFmtId="181" fontId="34" fillId="6" borderId="6" xfId="0" applyNumberFormat="1" applyFont="1" applyFill="1" applyBorder="1" applyAlignment="1">
      <alignment vertical="center"/>
    </xf>
    <xf numFmtId="0" fontId="35" fillId="0" borderId="0" xfId="0" applyFont="1" applyBorder="1"/>
    <xf numFmtId="0" fontId="30" fillId="0" borderId="0" xfId="0" applyFont="1" applyBorder="1"/>
    <xf numFmtId="0" fontId="31" fillId="0" borderId="0" xfId="0" applyFont="1" applyBorder="1"/>
    <xf numFmtId="0" fontId="36" fillId="0" borderId="0" xfId="0" applyFont="1" applyFill="1" applyBorder="1"/>
    <xf numFmtId="0" fontId="5" fillId="0" borderId="0" xfId="0" applyFont="1" applyFill="1" applyBorder="1"/>
    <xf numFmtId="0" fontId="37" fillId="0" borderId="0" xfId="0" applyFont="1" applyBorder="1"/>
    <xf numFmtId="178" fontId="37" fillId="0" borderId="0" xfId="0" applyNumberFormat="1" applyFont="1" applyBorder="1"/>
    <xf numFmtId="0" fontId="38" fillId="0" borderId="0" xfId="3" applyFont="1" applyBorder="1"/>
    <xf numFmtId="0" fontId="28" fillId="0" borderId="0" xfId="3" applyFont="1" applyBorder="1"/>
    <xf numFmtId="14" fontId="28" fillId="0" borderId="0" xfId="0" applyNumberFormat="1" applyFont="1" applyBorder="1"/>
    <xf numFmtId="0" fontId="37" fillId="0" borderId="0" xfId="0" applyFont="1" applyFill="1" applyBorder="1"/>
    <xf numFmtId="178" fontId="28" fillId="0" borderId="0" xfId="0" applyNumberFormat="1" applyFont="1" applyBorder="1"/>
    <xf numFmtId="14" fontId="29" fillId="0" borderId="0" xfId="3" applyNumberFormat="1" applyFont="1" applyBorder="1"/>
    <xf numFmtId="0" fontId="39" fillId="7" borderId="10" xfId="0" applyFont="1" applyFill="1" applyBorder="1" applyAlignment="1">
      <alignment horizontal="center" vertical="center"/>
    </xf>
    <xf numFmtId="0" fontId="40" fillId="5" borderId="10" xfId="0" applyFont="1" applyFill="1" applyBorder="1" applyAlignment="1">
      <alignment vertical="center"/>
    </xf>
    <xf numFmtId="0" fontId="41" fillId="2" borderId="0" xfId="0" applyFont="1" applyFill="1" applyBorder="1" applyAlignment="1">
      <alignment vertical="center"/>
    </xf>
    <xf numFmtId="0" fontId="28" fillId="2" borderId="0" xfId="0" applyFont="1" applyFill="1" applyBorder="1" applyAlignment="1">
      <alignment vertical="center"/>
    </xf>
    <xf numFmtId="49" fontId="42" fillId="4" borderId="5" xfId="0" applyNumberFormat="1" applyFont="1" applyFill="1" applyBorder="1" applyAlignment="1">
      <alignment vertical="center"/>
    </xf>
    <xf numFmtId="0" fontId="42" fillId="4" borderId="5" xfId="0" applyNumberFormat="1" applyFont="1" applyFill="1" applyBorder="1" applyAlignment="1">
      <alignment vertical="center"/>
    </xf>
    <xf numFmtId="179" fontId="43" fillId="0" borderId="0" xfId="0" applyNumberFormat="1" applyFont="1" applyAlignment="1">
      <alignment horizontal="center"/>
    </xf>
    <xf numFmtId="179" fontId="43" fillId="0" borderId="0" xfId="0" applyNumberFormat="1" applyFont="1" applyBorder="1" applyAlignment="1">
      <alignment horizontal="center"/>
    </xf>
    <xf numFmtId="0" fontId="42" fillId="4" borderId="6" xfId="0" applyNumberFormat="1" applyFont="1" applyFill="1" applyBorder="1" applyAlignment="1">
      <alignment vertical="center"/>
    </xf>
    <xf numFmtId="0" fontId="42" fillId="4" borderId="11" xfId="0" applyNumberFormat="1" applyFont="1" applyFill="1" applyBorder="1" applyAlignment="1">
      <alignment vertical="center"/>
    </xf>
    <xf numFmtId="0" fontId="44" fillId="0" borderId="0" xfId="0" applyFont="1"/>
    <xf numFmtId="0" fontId="40" fillId="4" borderId="5" xfId="0" applyNumberFormat="1" applyFont="1" applyFill="1" applyBorder="1" applyAlignment="1">
      <alignment vertical="center"/>
    </xf>
    <xf numFmtId="0" fontId="40" fillId="5" borderId="5" xfId="0" applyNumberFormat="1" applyFont="1" applyFill="1" applyBorder="1" applyAlignment="1">
      <alignment vertical="center"/>
    </xf>
    <xf numFmtId="177" fontId="4" fillId="0" borderId="0" xfId="0" applyNumberFormat="1" applyFont="1"/>
    <xf numFmtId="0" fontId="29" fillId="0" borderId="0" xfId="0" applyFont="1"/>
    <xf numFmtId="0" fontId="40" fillId="4" borderId="6" xfId="0" applyFont="1" applyFill="1" applyBorder="1" applyAlignment="1">
      <alignment horizontal="left" vertical="center"/>
    </xf>
    <xf numFmtId="176" fontId="45" fillId="0" borderId="0" xfId="0" applyNumberFormat="1" applyFont="1" applyFill="1" applyBorder="1" applyAlignment="1">
      <alignment horizontal="left" vertical="center"/>
    </xf>
    <xf numFmtId="0" fontId="37" fillId="0" borderId="0" xfId="0" applyFont="1"/>
    <xf numFmtId="176" fontId="46" fillId="0" borderId="0" xfId="0" applyNumberFormat="1" applyFont="1" applyFill="1" applyBorder="1" applyAlignment="1">
      <alignment horizontal="left" vertical="center"/>
    </xf>
    <xf numFmtId="0" fontId="28" fillId="0" borderId="0" xfId="0" applyFont="1" applyFill="1"/>
    <xf numFmtId="0" fontId="36" fillId="0" borderId="0" xfId="0" applyFont="1"/>
    <xf numFmtId="0" fontId="4" fillId="0" borderId="0" xfId="0" applyFont="1"/>
    <xf numFmtId="0" fontId="5" fillId="0" borderId="0" xfId="0" applyFont="1"/>
    <xf numFmtId="0" fontId="44" fillId="5" borderId="10" xfId="0" applyFont="1" applyFill="1" applyBorder="1" applyAlignment="1">
      <alignment vertical="center"/>
    </xf>
    <xf numFmtId="0" fontId="40" fillId="5" borderId="0" xfId="0" applyFont="1" applyFill="1" applyBorder="1" applyAlignment="1">
      <alignment vertical="center"/>
    </xf>
    <xf numFmtId="49" fontId="34" fillId="4" borderId="5" xfId="0" applyNumberFormat="1" applyFont="1" applyFill="1" applyBorder="1" applyAlignment="1">
      <alignment vertical="center"/>
    </xf>
    <xf numFmtId="14" fontId="47" fillId="0" borderId="0" xfId="0" applyNumberFormat="1" applyFont="1" applyBorder="1" applyAlignment="1">
      <alignment horizontal="center"/>
    </xf>
    <xf numFmtId="0" fontId="34" fillId="4" borderId="5" xfId="0" applyFont="1" applyFill="1" applyBorder="1" applyAlignment="1">
      <alignment vertical="center"/>
    </xf>
    <xf numFmtId="14" fontId="47" fillId="0" borderId="0" xfId="0" applyNumberFormat="1" applyFont="1" applyFill="1" applyBorder="1" applyAlignment="1">
      <alignment horizontal="center" vertical="center"/>
    </xf>
    <xf numFmtId="14" fontId="48" fillId="0" borderId="0" xfId="2" applyNumberFormat="1" applyFont="1" applyFill="1" applyBorder="1" applyAlignment="1" applyProtection="1">
      <alignment horizontal="center"/>
    </xf>
    <xf numFmtId="0" fontId="28" fillId="0" borderId="0" xfId="0" applyFont="1" applyAlignment="1">
      <alignment horizontal="center"/>
    </xf>
    <xf numFmtId="0" fontId="49" fillId="4" borderId="12" xfId="0" applyFont="1" applyFill="1" applyBorder="1" applyAlignment="1">
      <alignment vertical="center"/>
    </xf>
    <xf numFmtId="0" fontId="50" fillId="0" borderId="0" xfId="0" applyNumberFormat="1" applyFont="1" applyFill="1" applyBorder="1"/>
    <xf numFmtId="0" fontId="28" fillId="0" borderId="0" xfId="0" applyNumberFormat="1" applyFont="1"/>
    <xf numFmtId="0" fontId="4" fillId="0" borderId="0" xfId="0" applyFont="1" applyFill="1" applyAlignment="1">
      <alignment vertical="top"/>
    </xf>
    <xf numFmtId="0" fontId="51" fillId="0" borderId="0" xfId="0" applyFont="1" applyFill="1" applyBorder="1" applyAlignment="1">
      <alignment vertical="center"/>
    </xf>
    <xf numFmtId="181" fontId="34" fillId="5" borderId="7" xfId="0" applyNumberFormat="1" applyFont="1" applyFill="1" applyBorder="1" applyAlignment="1">
      <alignment vertical="center"/>
    </xf>
    <xf numFmtId="181" fontId="34" fillId="6" borderId="8" xfId="0" applyNumberFormat="1" applyFont="1" applyFill="1" applyBorder="1" applyAlignment="1">
      <alignment vertical="center"/>
    </xf>
    <xf numFmtId="181" fontId="34" fillId="5" borderId="8" xfId="0" applyNumberFormat="1" applyFont="1" applyFill="1" applyBorder="1" applyAlignment="1">
      <alignment vertical="center"/>
    </xf>
    <xf numFmtId="181" fontId="34" fillId="6" borderId="9" xfId="0" applyNumberFormat="1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176" fontId="40" fillId="5" borderId="6" xfId="0" applyNumberFormat="1" applyFont="1" applyFill="1" applyBorder="1" applyAlignment="1">
      <alignment vertical="center"/>
    </xf>
    <xf numFmtId="176" fontId="40" fillId="6" borderId="6" xfId="0" applyNumberFormat="1" applyFont="1" applyFill="1" applyBorder="1" applyAlignment="1">
      <alignment vertical="center"/>
    </xf>
    <xf numFmtId="0" fontId="40" fillId="0" borderId="0" xfId="0" applyFont="1"/>
    <xf numFmtId="49" fontId="37" fillId="8" borderId="6" xfId="0" applyNumberFormat="1" applyFont="1" applyFill="1" applyBorder="1" applyAlignment="1">
      <alignment horizontal="left"/>
    </xf>
    <xf numFmtId="180" fontId="37" fillId="8" borderId="6" xfId="0" applyNumberFormat="1" applyFont="1" applyFill="1" applyBorder="1" applyAlignment="1">
      <alignment horizontal="left"/>
    </xf>
    <xf numFmtId="0" fontId="34" fillId="3" borderId="0" xfId="0" applyNumberFormat="1" applyFont="1" applyFill="1" applyBorder="1" applyAlignment="1">
      <alignment horizontal="left"/>
    </xf>
    <xf numFmtId="0" fontId="37" fillId="0" borderId="0" xfId="0" applyFont="1" applyBorder="1" applyAlignment="1">
      <alignment horizontal="left"/>
    </xf>
    <xf numFmtId="181" fontId="40" fillId="5" borderId="6" xfId="0" applyNumberFormat="1" applyFont="1" applyFill="1" applyBorder="1" applyAlignment="1">
      <alignment vertical="center"/>
    </xf>
    <xf numFmtId="10" fontId="40" fillId="6" borderId="6" xfId="6" applyNumberFormat="1" applyFont="1" applyFill="1" applyBorder="1" applyAlignment="1">
      <alignment vertical="center"/>
    </xf>
    <xf numFmtId="0" fontId="33" fillId="0" borderId="0" xfId="0" applyFont="1" applyBorder="1" applyAlignment="1">
      <alignment horizontal="center"/>
    </xf>
  </cellXfs>
  <cellStyles count="7">
    <cellStyle name="百分比" xfId="6" builtinId="5"/>
    <cellStyle name="常规" xfId="0" builtinId="0"/>
    <cellStyle name="常规 2" xfId="1"/>
    <cellStyle name="常规 2 2" xfId="4"/>
    <cellStyle name="常规 3" xfId="3"/>
    <cellStyle name="超链接" xfId="2" builtinId="8"/>
    <cellStyle name="超链接 2" xfId="5"/>
  </cellStyles>
  <dxfs count="0"/>
  <tableStyles count="0" defaultTableStyle="TableStyleMedium2" defaultPivotStyle="PivotStyleMedium9"/>
  <colors>
    <mruColors>
      <color rgb="FFD09E00"/>
      <color rgb="FFE8EE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gilcalc.gcalc">
      <tp>
        <v>2096.69</v>
        <stp/>
        <stp>S_E_CFS_NETFROMSUBCOM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73" s="2"/>
      </tp>
      <tp>
        <v>4000000</v>
        <stp/>
        <stp>S_E_CFS_NETFROMSUBCOM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73" s="2"/>
      </tp>
      <tp>
        <v>0</v>
        <stp/>
        <stp>S_E_CFS_NETFROMSUBCOM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73" s="2"/>
      </tp>
      <tp>
        <v>3000000</v>
        <stp/>
        <stp>S_E_CFS_NETFROMSUBCOM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73" s="2"/>
      </tp>
      <tp>
        <v>2916840.78</v>
        <stp/>
        <stp>S_E_CFS_NETFROMSUBCOM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73" s="2"/>
      </tp>
      <tp>
        <v>0</v>
        <stp/>
        <stp>S_E_CFS_NETFROMSUBCOM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73" s="2"/>
      </tp>
      <tp>
        <v>38460077.149999999</v>
        <stp/>
        <stp>S_E_BS_ADVANCEPAYMENT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55" s="2"/>
      </tp>
      <tp>
        <v>34528534.439999998</v>
        <stp/>
        <stp>S_E_BS_ADVANCEPAYMENT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55" s="2"/>
      </tp>
      <tp>
        <v>30070145.719999999</v>
        <stp/>
        <stp>S_E_BS_ADVANCEPAYMENT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55" s="2"/>
      </tp>
      <tp>
        <v>51764394.130000003</v>
        <stp/>
        <stp>S_E_BS_ADVANCEPAYMENT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55" s="2"/>
      </tp>
      <tp>
        <v>410935077.19999999</v>
        <stp/>
        <stp>S_E_BS_RETAINEDPROFIT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38" s="2"/>
      </tp>
      <tp>
        <v>0</v>
        <stp/>
        <stp>S_E_BS_OILGASALASSETS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82" s="2"/>
      </tp>
      <tp>
        <v>0</v>
        <stp/>
        <stp>S_E_BS_OILGASALASSETS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82" s="2"/>
      </tp>
      <tp>
        <v>0</v>
        <stp/>
        <stp>S_E_BS_OILGASALASSETS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82" s="2"/>
      </tp>
      <tp>
        <v>447713040.49000001</v>
        <stp/>
        <stp>S_E_BS_RETAINEDPROFIT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38" s="2"/>
      </tp>
      <tp>
        <v>495397118.80000001</v>
        <stp/>
        <stp>S_E_BS_RETAINEDPROFIT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38" s="2"/>
      </tp>
      <tp>
        <v>0</v>
        <stp/>
        <stp>S_E_BS_OILGASALASSETS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82" s="2"/>
      </tp>
      <tp>
        <v>347157902.31</v>
        <stp/>
        <stp>S_E_BS_RETAINEDPROFIT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38" s="2"/>
      </tp>
      <tp>
        <v>58565885.049999997</v>
        <stp/>
        <stp>S_E_BS_ADVANCEPAYMENT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55" s="2"/>
      </tp>
      <tp>
        <v>49486106.310000002</v>
        <stp/>
        <stp>S_E_BS_ADVANCEPAYMENT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55" s="2"/>
      </tp>
      <tp>
        <v>0</v>
        <stp/>
        <stp>S_E_BS_OILGASALASSETS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82" s="2"/>
      </tp>
      <tp>
        <v>0</v>
        <stp/>
        <stp>S_E_BS_OILGASALASSETS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82" s="2"/>
      </tp>
      <tp>
        <v>519216845.87</v>
        <stp/>
        <stp>S_E_BS_RETAINEDPROFIT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38" s="2"/>
      </tp>
      <tp>
        <v>468655843.49000001</v>
        <stp/>
        <stp>S_E_BS_RETAINEDPROFIT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38" s="2"/>
      </tp>
      <tp>
        <v>1582609263.5699999</v>
        <stp/>
        <stp>S_E_BS_CAPITALRESERVE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34" s="2"/>
      </tp>
      <tp>
        <v>1655050228.6600001</v>
        <stp/>
        <stp>S_E_BS_CAPITALRESERVE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34" s="2"/>
      </tp>
      <tp>
        <v>1601516928.6600001</v>
        <stp/>
        <stp>S_E_BS_CAPITALRESERVE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34" s="2"/>
      </tp>
      <tp>
        <v>1582609263.5699999</v>
        <stp/>
        <stp>S_E_BS_CAPITALRESERVE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34" s="2"/>
      </tp>
      <tp>
        <v>1497711056.6600001</v>
        <stp/>
        <stp>S_E_BS_CAPITALRESERVE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34" s="2"/>
      </tp>
      <tp>
        <v>1582609263.5699999</v>
        <stp/>
        <stp>S_E_BS_CAPITALRESERVE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34" s="2"/>
      </tp>
      <tp>
        <v>0</v>
        <stp/>
        <stp>S_I_BS_REINSURPAYABLE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8" s="2"/>
      </tp>
      <tp>
        <v>0</v>
        <stp/>
        <stp>S_I_BS_REINSURPAYABLE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8" s="2"/>
      </tp>
      <tp>
        <v>0</v>
        <stp/>
        <stp>S_I_BS_REINSURPAYABLE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8" s="2"/>
      </tp>
      <tp>
        <v>0</v>
        <stp/>
        <stp>S_I_BS_REINSURPAYABLE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8" s="2"/>
      </tp>
      <tp>
        <v>0</v>
        <stp/>
        <stp>S_I_BS_REINSURPAYABLE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8" s="2"/>
      </tp>
      <tp>
        <v>0</v>
        <stp/>
        <stp>S_I_BS_REINSURPAYABLE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8" s="2"/>
      </tp>
      <tp>
        <v>-773275.35</v>
        <stp/>
        <stp>S_E_IS_MINORITYPROFIT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41" s="2"/>
      </tp>
      <tp>
        <v>318555.96999999997</v>
        <stp/>
        <stp>S_E_IS_MINORITYPROFIT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41" s="2"/>
      </tp>
      <tp>
        <v>-46531067.979999997</v>
        <stp/>
        <stp>S_E_CFS_NETOPCASHFLOW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62" s="2"/>
      </tp>
      <tp>
        <v>-78408318.549999997</v>
        <stp/>
        <stp>S_E_CFS_NETOPCASHFLOW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62" s="2"/>
      </tp>
      <tp>
        <v>0</v>
        <stp/>
        <stp>S_E_BS_DIVIRECEIVABLE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61" s="2"/>
      </tp>
      <tp>
        <v>0</v>
        <stp/>
        <stp>S_E_BS_DIVIRECEIVABLE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1" s="2"/>
      </tp>
      <tp>
        <v>0</v>
        <stp/>
        <stp>S_E_BS_DIVIRECEIVABLE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61" s="2"/>
      </tp>
      <tp>
        <v>0</v>
        <stp/>
        <stp>S_E_BS_FORCURCONVDIFF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39" s="2"/>
      </tp>
      <tp>
        <v>0</v>
        <stp/>
        <stp>S_E_BS_FORCURCONVDIFF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39" s="2"/>
      </tp>
      <tp>
        <v>1625000.1</v>
        <stp/>
        <stp>S_E_BS_DIVIRECEIVABLE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61" s="2"/>
      </tp>
      <tp>
        <v>1455622.17</v>
        <stp/>
        <stp>S_E_IS_MINORITYPROFIT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41" s="2"/>
      </tp>
      <tp>
        <v>7182381.0700000003</v>
        <stp/>
        <stp>S_E_CFS_NETOPCASHFLOW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62" s="2"/>
      </tp>
      <tp>
        <v>0</v>
        <stp/>
        <stp>S_E_IS_MINORITYPROFIT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41" s="2"/>
      </tp>
      <tp>
        <v>-1223353.7699999998</v>
        <stp/>
        <stp>S_E_IS_MINORITYPROFIT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41" s="2"/>
      </tp>
      <tp>
        <v>24994517.280000001</v>
        <stp/>
        <stp>S_E_CFS_NETOPCASHFLOW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62" s="2"/>
      </tp>
      <tp>
        <v>-18709.93</v>
        <stp/>
        <stp>S_E_IS_MINORITYPROFIT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41" s="2"/>
      </tp>
      <tp>
        <v>306479308.67000002</v>
        <stp/>
        <stp>S_E_CFS_NETOPCASHFLOW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62" s="2"/>
      </tp>
      <tp>
        <v>213138551.46000001</v>
        <stp/>
        <stp>S_E_CFS_NETOPCASHFLOW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62" s="2"/>
      </tp>
      <tp>
        <v>0</v>
        <stp/>
        <stp>S_E_BS_FORCURCONVDIFF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39" s="2"/>
      </tp>
      <tp>
        <v>0</v>
        <stp/>
        <stp>S_E_BS_DIVIRECEIVABLE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1" s="2"/>
      </tp>
      <tp>
        <v>0</v>
        <stp/>
        <stp>S_E_BS_DIVIRECEIVABLE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61" s="2"/>
      </tp>
      <tp>
        <v>0</v>
        <stp/>
        <stp>S_E_BS_FORCURCONVDIFF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39" s="2"/>
      </tp>
      <tp>
        <v>0</v>
        <stp/>
        <stp>S_E_BS_FORCURCONVDIFF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39" s="2"/>
      </tp>
      <tp>
        <v>0</v>
        <stp/>
        <stp>S_E_BS_FORCURCONVDIFF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39" s="2"/>
      </tp>
      <tp>
        <v>128012568.78</v>
        <stp/>
        <stp>S_E_BS_ACCOUNTPAYABLE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0" s="2"/>
      </tp>
      <tp>
        <v>193749491.09</v>
        <stp/>
        <stp>S_E_BS_ADVANCERECEIPT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1" s="2"/>
      </tp>
      <tp>
        <v>230773832.97999999</v>
        <stp/>
        <stp>S_E_BS_ADVANCERECEIPT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1" s="2"/>
      </tp>
      <tp>
        <v>312671706.80000001</v>
        <stp/>
        <stp>S_E_CFS_BEGINCASHEQUI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99" s="2"/>
      </tp>
      <tp>
        <v>840169647.80999994</v>
        <stp/>
        <stp>S_E_CFS_BEGINCASHEQUI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99" s="2"/>
      </tp>
      <tp>
        <v>123362934.8</v>
        <stp/>
        <stp>S_E_BS_ACCOUNTPAYABLE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0" s="2"/>
      </tp>
      <tp>
        <v>96562135.379999995</v>
        <stp/>
        <stp>S_E_BS_ACCOUNTPAYABLE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0" s="2"/>
      </tp>
      <tp>
        <v>193918845.87</v>
        <stp/>
        <stp>S_E_BS_ADVANCERECEIPT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1" s="2"/>
      </tp>
      <tp>
        <v>840169647.80999994</v>
        <stp/>
        <stp>S_E_CFS_BEGINCASHEQUI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99" s="2"/>
      </tp>
      <tp>
        <v>840169647.80999994</v>
        <stp/>
        <stp>S_E_CFS_BEGINCASHEQUI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99" s="2"/>
      </tp>
      <tp>
        <v>211076073.83000001</v>
        <stp/>
        <stp>S_E_BS_ADVANCERECEIPT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1" s="2"/>
      </tp>
      <tp>
        <v>91108044.120000005</v>
        <stp/>
        <stp>S_E_BS_ACCOUNTPAYABLE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0" s="2"/>
      </tp>
      <tp>
        <v>1327625613.04</v>
        <stp/>
        <stp>S_E_CFS_BEGINCASHEQUI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99" s="2"/>
      </tp>
      <tp>
        <v>853994291.86000001</v>
        <stp/>
        <stp>S_E_CFS_BEGINCASHEQUI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99" s="2"/>
      </tp>
      <tp>
        <v>180328657.02000001</v>
        <stp/>
        <stp>S_E_BS_ADVANCERECEIPT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1" s="2"/>
      </tp>
      <tp>
        <v>216101060.74000001</v>
        <stp/>
        <stp>S_E_BS_ADVANCERECEIPT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1" s="2"/>
      </tp>
      <tp>
        <v>73238001.969999999</v>
        <stp/>
        <stp>S_E_BS_ACCOUNTPAYABLE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0" s="2"/>
      </tp>
      <tp>
        <v>71930050.950000003</v>
        <stp/>
        <stp>S_E_BS_ACCOUNTPAYABLE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0" s="2"/>
      </tp>
      <tp>
        <v>865284668.38999999</v>
        <stp/>
        <stp>S_E_BS_TOTALLIABILITY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31" s="2"/>
        <tr r="C17" s="4"/>
      </tp>
      <tp>
        <v>0</v>
        <stp/>
        <stp>S_E_BS_TOTALLIABILITY</stp>
        <stp>603888.SH</stp>
        <stp>2016-03-31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3" s="7"/>
      </tp>
      <tp>
        <v>862328752.24000001</v>
        <stp/>
        <stp>S_E_BS_TOTALLIABILITY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31" s="2"/>
        <tr r="G17" s="4"/>
      </tp>
      <tp>
        <v>-2054635.87</v>
        <stp/>
        <stp>S_E_IS_INVESTIN_UNION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28" s="2"/>
      </tp>
      <tp>
        <v>-5446826.0700000003</v>
        <stp/>
        <stp>S_E_IS_INVESTIN_UNION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8" s="2"/>
      </tp>
      <tp>
        <v>19.202432358315811</v>
        <stp/>
        <stp>S_FA_DUPONT_NETPROFITMARGIN</stp>
        <stp>603888.SH</stp>
        <stp>2016-06-30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5" s="7"/>
      </tp>
      <tp>
        <v>19.017289931950401</v>
        <stp/>
        <stp>S_FA_DUPONT_NETPROFITMARGIN</stp>
        <stp>603888.SH</stp>
        <stp>2017-06-30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9" s="4"/>
      </tp>
      <tp>
        <v>20.577765708593283</v>
        <stp/>
        <stp>S_FA_DUPONT_NETPROFITMARGIN</stp>
        <stp>603888.SH</stp>
        <stp>2016-12-31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9" s="4"/>
      </tp>
      <tp>
        <v>18.818871515344163</v>
        <stp/>
        <stp>S_FA_DUPONT_NETPROFITMARGIN</stp>
        <stp>603888.SH</stp>
        <stp>2017-12-31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" s="4"/>
      </tp>
      <tp>
        <v>26.207155507973845</v>
        <stp/>
        <stp>S_FA_DUPONT_NETPROFITMARGIN</stp>
        <stp>603888.SH</stp>
        <stp>2015-12-31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5" s="7"/>
      </tp>
      <tp>
        <v>20.226761917650546</v>
        <stp/>
        <stp>S_FA_DUPONT_NETPROFITMARGIN</stp>
        <stp>603888.SH</stp>
        <stp>2016-09-30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5" s="7"/>
      </tp>
      <tp>
        <v>19.103997491224149</v>
        <stp/>
        <stp>S_FA_DUPONT_NETPROFITMARGIN</stp>
        <stp>603888.SH</stp>
        <stp>2017-09-30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" s="4"/>
      </tp>
      <tp>
        <v>0</v>
        <stp/>
        <stp>S_FA_DUPONT_NETPROFITMARGIN</stp>
        <stp>603888.SH</stp>
        <stp>2016-03-31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5" s="7"/>
      </tp>
      <tp>
        <v>10.29306518725843</v>
        <stp/>
        <stp>S_FA_DUPONT_NETPROFITMARGIN</stp>
        <stp>603888.SH</stp>
        <stp>2017-03-31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9" s="4"/>
      </tp>
      <tp>
        <v>9.3617654518584885</v>
        <stp/>
        <stp>S_FA_DUPONT_NETPROFITMARGIN</stp>
        <stp>603888.SH</stp>
        <stp>2018-03-31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" s="4"/>
      </tp>
      <tp>
        <v>697619762.11000001</v>
        <stp/>
        <stp>S_E_BS_TOTALLIABILITY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3" s="7"/>
      </tp>
      <tp>
        <v>924146436.64999998</v>
        <stp/>
        <stp>S_E_BS_TOTALLIABILITY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31" s="2"/>
        <tr r="B17" s="4"/>
      </tp>
      <tp>
        <v>991947169.58000004</v>
        <stp/>
        <stp>S_E_BS_TOTALLIABILITY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31" s="2"/>
        <tr r="F17" s="4"/>
      </tp>
      <tp>
        <v>-8913772.8300000001</v>
        <stp/>
        <stp>S_E_IS_INVESTIN_UNION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8" s="2"/>
      </tp>
      <tp>
        <v>906132452.79999995</v>
        <stp/>
        <stp>S_E_BS_TOTALLIABILITY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31" s="2"/>
        <tr r="D17" s="4"/>
      </tp>
      <tp>
        <v>673074746.08000004</v>
        <stp/>
        <stp>S_E_BS_TOTALLIABILITY</stp>
        <stp>603888.SH</stp>
        <stp>2016-06-30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3" s="7"/>
      </tp>
      <tp>
        <v>867088942.72000003</v>
        <stp/>
        <stp>S_E_BS_TOTALLIABILITY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31" s="2"/>
        <tr r="E17" s="4"/>
      </tp>
      <tp>
        <v>724299691.82000005</v>
        <stp/>
        <stp>S_E_BS_TOTALLIABILITY</stp>
        <stp>603888.SH</stp>
        <stp>2016-09-30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3" s="7"/>
      </tp>
      <tp>
        <v>-4191850.81</v>
        <stp/>
        <stp>S_E_IS_INVESTIN_UNION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28" s="2"/>
      </tp>
      <tp>
        <v>-13654315.949999999</v>
        <stp/>
        <stp>S_E_IS_INVESTIN_UNION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8" s="2"/>
      </tp>
      <tp>
        <v>-3041532.28</v>
        <stp/>
        <stp>S_E_IS_INVESTIN_UNION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8" s="2"/>
      </tp>
      <tp>
        <v>0</v>
        <stp/>
        <stp>S_E_CFS_NETDEALSUBCOM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67" s="2"/>
      </tp>
      <tp>
        <v>0</v>
        <stp/>
        <stp>S_E_CFS_NETDEALSUBCOM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67" s="2"/>
      </tp>
      <tp>
        <v>25413859.300000001</v>
        <stp/>
        <stp>S_E_BS_LTDEFEREXPENSE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86" s="2"/>
      </tp>
      <tp>
        <v>48572143.469999999</v>
        <stp/>
        <stp>S_E_BS_LTDEFEREXPENSE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86" s="2"/>
      </tp>
      <tp>
        <v>20.577765708593283</v>
        <stp/>
        <stp>S_FA_DUPONT_NETPROFITMARGIN</stp>
        <stp>603888.SH</stp>
        <stp>2016/12/31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7" s="4"/>
      </tp>
      <tp>
        <v>18.818871515344163</v>
        <stp/>
        <stp>S_FA_DUPONT_NETPROFITMARGIN</stp>
        <stp>603888.SH</stp>
        <stp>2017/12/31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" s="4"/>
      </tp>
      <tp>
        <v>0</v>
        <stp/>
        <stp>S_E_CFS_NETDEALSUBCOM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67" s="2"/>
      </tp>
      <tp>
        <v>0</v>
        <stp/>
        <stp>S_E_CFS_NETDEALSUBCOM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67" s="2"/>
      </tp>
      <tp>
        <v>18501901.330000002</v>
        <stp/>
        <stp>S_E_CFS_NETDEALSUBCOM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67" s="2"/>
      </tp>
      <tp>
        <v>0</v>
        <stp/>
        <stp>S_E_CFS_NETDEALSUBCOM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67" s="2"/>
      </tp>
      <tp>
        <v>42765392.610000007</v>
        <stp/>
        <stp>S_E_BS_LTDEFEREXPENSE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86" s="2"/>
      </tp>
      <tp>
        <v>30887264.300000001</v>
        <stp/>
        <stp>S_E_BS_LTDEFEREXPENSE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86" s="2"/>
      </tp>
      <tp>
        <v>55195376.93</v>
        <stp/>
        <stp>S_E_BS_LTDEFEREXPENSE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86" s="2"/>
      </tp>
      <tp>
        <v>37168118.689999998</v>
        <stp/>
        <stp>S_E_BS_LTDEFEREXPENSE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86" s="2"/>
      </tp>
      <tp>
        <v>0</v>
        <stp/>
        <stp>S_I_IS_PREMIUMRESERVE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7" s="2"/>
      </tp>
      <tp>
        <v>0</v>
        <stp/>
        <stp>S_I_IS_PREMIUMRESERVE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7" s="2"/>
      </tp>
      <tp>
        <v>0</v>
        <stp/>
        <stp>S_I_IS_PREMIUMRESERVE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7" s="2"/>
      </tp>
      <tp>
        <v>0</v>
        <stp/>
        <stp>S_I_IS_PREMIUMRESERVE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7" s="2"/>
      </tp>
      <tp>
        <v>0</v>
        <stp/>
        <stp>S_I_IS_PREMIUMRESERVE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7" s="2"/>
      </tp>
      <tp>
        <v>0</v>
        <stp/>
        <stp>S_I_IS_PREMIUMRESERVE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7" s="2"/>
      </tp>
      <tp>
        <v>23520105.859999999</v>
        <stp/>
        <stp>S_E_BS_MINORITYEQUITY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41" s="2"/>
      </tp>
      <tp>
        <v>38135660.270000003</v>
        <stp/>
        <stp>S_E_BS_MINORITYEQUITY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41" s="2"/>
      </tp>
      <tp>
        <v>15043226.5</v>
        <stp/>
        <stp>S_E_BS_BILLRECEIVABLE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53" s="2"/>
      </tp>
      <tp>
        <v>14769966</v>
        <stp/>
        <stp>S_E_BS_BILLRECEIVABLE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53" s="2"/>
      </tp>
      <tp>
        <v>1324979.4300000002</v>
        <stp/>
        <stp>S_E_BS_BILLRECEIVABLE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53" s="2"/>
      </tp>
      <tp>
        <v>0</v>
        <stp/>
        <stp>S_E_CFS_SUBTOALFINCOF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92" s="2"/>
      </tp>
      <tp>
        <v>2200000</v>
        <stp/>
        <stp>S_E_CFS_SUBTOALFINCIF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86" s="2"/>
      </tp>
      <tp>
        <v>20810000</v>
        <stp/>
        <stp>S_E_CFS_SUBTOALFINCIF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86" s="2"/>
      </tp>
      <tp>
        <v>0</v>
        <stp/>
        <stp>S_E_CFS_SUBTOALFINCOF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92" s="2"/>
      </tp>
      <tp>
        <v>1345249.84</v>
        <stp/>
        <stp>S_E_BS_BILLRECEIVABLE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53" s="2"/>
      </tp>
      <tp>
        <v>147558831.72999999</v>
        <stp/>
        <stp>S_E_BS_MINORITYEQUITY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41" s="2"/>
      </tp>
      <tp>
        <v>666666.67000000004</v>
        <stp/>
        <stp>S_E_BS_MINORITYEQUITY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41" s="2"/>
      </tp>
      <tp>
        <v>38908935.620000005</v>
        <stp/>
        <stp>S_E_BS_MINORITYEQUITY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41" s="2"/>
      </tp>
      <tp>
        <v>64134956.920000002</v>
        <stp/>
        <stp>S_E_BS_MINORITYEQUITY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41" s="2"/>
      </tp>
      <tp>
        <v>100197000</v>
        <stp/>
        <stp>S_E_CFS_SUBTOALFINCIF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86" s="2"/>
      </tp>
      <tp>
        <v>0</v>
        <stp/>
        <stp>S_E_CFS_SUBTOALFINCOF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92" s="2"/>
      </tp>
      <tp>
        <v>13353100</v>
        <stp/>
        <stp>S_E_BS_BILLRECEIVABLE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53" s="2"/>
      </tp>
      <tp>
        <v>1555496</v>
        <stp/>
        <stp>S_E_BS_BILLRECEIVABLE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53" s="2"/>
      </tp>
      <tp>
        <v>1534724667.24</v>
        <stp/>
        <stp>S_E_CFS_SUBTOALFINCIF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86" s="2"/>
      </tp>
      <tp>
        <v>115006500</v>
        <stp/>
        <stp>S_E_CFS_SUBTOALFINCIF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86" s="2"/>
      </tp>
      <tp>
        <v>352939964.80000001</v>
        <stp/>
        <stp>S_E_CFS_SUBTOALFINCOF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92" s="2"/>
      </tp>
      <tp>
        <v>0</v>
        <stp/>
        <stp>S_E_CFS_SUBTOALFINCOF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92" s="2"/>
      </tp>
      <tp>
        <v>69660000</v>
        <stp/>
        <stp>S_E_CFS_SUBTOALFINCIF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86" s="2"/>
      </tp>
      <tp>
        <v>311417.62</v>
        <stp/>
        <stp>S_E_CFS_SUBTOALFINCOF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92" s="2"/>
      </tp>
      <tp t="s">
        <v>新 华 网</v>
        <stp/>
        <stp>S_INFO_SNAME</stp>
        <stp>603888.SH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" s="1"/>
      </tp>
      <tp t="s">
        <v>2018-01-23</v>
        <stp/>
        <stp>S_DQ_LASTTRADINGDAY</stp>
        <stp>603888.SH</stp>
        <stp>2018-01-23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I10" s="1"/>
      </tp>
      <tp>
        <v>5618086.2199999997</v>
        <stp/>
        <stp>S_E_CFS_OTHERCASHINOP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52" s="2"/>
      </tp>
      <tp>
        <v>35589757.380000003</v>
        <stp/>
        <stp>S_E_CFS_OTHERCASHINOP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52" s="2"/>
      </tp>
      <tp>
        <v>44905714.939999998</v>
        <stp/>
        <stp>S_E_CFS_OTHERCASHINOP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52" s="2"/>
      </tp>
      <tp>
        <v>9104103.290000001</v>
        <stp/>
        <stp>S_E_CFS_OTHERCASHINOP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52" s="2"/>
      </tp>
      <tp>
        <v>44889747.149999999</v>
        <stp/>
        <stp>S_E_CFS_OTHERCASHINOP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52" s="2"/>
      </tp>
      <tp>
        <v>45836033.149999999</v>
        <stp/>
        <stp>S_E_CFS_OTHERCASHINOP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52" s="2"/>
      </tp>
      <tp>
        <v>379607.01</v>
        <stp/>
        <stp>S_E_CFS_TAXLEVYREFUND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51" s="2"/>
      </tp>
      <tp>
        <v>803703.62</v>
        <stp/>
        <stp>S_E_CFS_TAXLEVYREFUND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51" s="2"/>
      </tp>
      <tp>
        <v>0</v>
        <stp/>
        <stp>S_E_IS_INTERESTINCOME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8" s="2"/>
      </tp>
      <tp>
        <v>103805872</v>
        <stp/>
        <stp>S_E_BS_SURPLUSRESERVE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36" s="2"/>
      </tp>
      <tp>
        <v>124376.26</v>
        <stp/>
        <stp>S_E_CFS_TAXLEVYREFUND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51" s="2"/>
      </tp>
      <tp>
        <v>0</v>
        <stp/>
        <stp>S_E_IS_INTERESTINCOME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8" s="2"/>
      </tp>
      <tp>
        <v>0</v>
        <stp/>
        <stp>S_E_IS_INTERESTINCOME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8" s="2"/>
      </tp>
      <tp>
        <v>103805872</v>
        <stp/>
        <stp>S_E_BS_SURPLUSRESERVE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36" s="2"/>
      </tp>
      <tp>
        <v>132471330.62</v>
        <stp/>
        <stp>S_E_BS_SURPLUSRESERVE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36" s="2"/>
      </tp>
      <tp>
        <v>190188.24</v>
        <stp/>
        <stp>S_E_CFS_TAXLEVYREFUND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51" s="2"/>
      </tp>
      <tp>
        <v>103805872</v>
        <stp/>
        <stp>S_E_BS_SURPLUSRESERVE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36" s="2"/>
      </tp>
      <tp>
        <v>0</v>
        <stp/>
        <stp>S_E_IS_INTERESTINCOME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8" s="2"/>
      </tp>
      <tp>
        <v>498395318.47000003</v>
        <stp/>
        <stp>S_E_CFS_SUBTOTALOPCIF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54" s="2"/>
      </tp>
      <tp>
        <v>473400801.19</v>
        <stp/>
        <stp>S_E_CFS_SUBTOTALOPCOF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60" s="2"/>
      </tp>
      <tp>
        <v>1405771599.27</v>
        <stp/>
        <stp>S_E_CFS_SUBTOTALOPCIF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54" s="2"/>
      </tp>
      <tp>
        <v>1545438763.47</v>
        <stp/>
        <stp>S_E_CFS_SUBTOTALOPCIF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54" s="2"/>
      </tp>
      <tp>
        <v>1099292290.5999999</v>
        <stp/>
        <stp>S_E_CFS_SUBTOTALOPCOF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60" s="2"/>
      </tp>
      <tp>
        <v>1332300212.01</v>
        <stp/>
        <stp>S_E_CFS_SUBTOTALOPCOF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60" s="2"/>
      </tp>
      <tp>
        <v>0</v>
        <stp/>
        <stp>S_B_BS_LOANANDADVANCE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1" s="2"/>
      </tp>
      <tp>
        <v>0</v>
        <stp/>
        <stp>S_B_BS_LOANANDADVANCE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1" s="2"/>
      </tp>
      <tp>
        <v>0</v>
        <stp/>
        <stp>S_B_BS_LOANANDADVANCE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71" s="2"/>
      </tp>
      <tp>
        <v>0</v>
        <stp/>
        <stp>S_B_BS_LOANANDADVANCE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1" s="2"/>
      </tp>
      <tp>
        <v>878861854.46000004</v>
        <stp/>
        <stp>S_E_CFS_SUBTOTALOPCIF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54" s="2"/>
      </tp>
      <tp>
        <v>871679473.38999999</v>
        <stp/>
        <stp>S_E_CFS_SUBTOTALOPCOF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60" s="2"/>
      </tp>
      <tp>
        <v>2393.16</v>
        <stp/>
        <stp>S_E_CFS_TAXLEVYREFUND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51" s="2"/>
      </tp>
      <tp>
        <v>0</v>
        <stp/>
        <stp>S_E_CFS_TAXLEVYREFUND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51" s="2"/>
      </tp>
      <tp>
        <v>0</v>
        <stp/>
        <stp>S_E_IS_INTERESTINCOME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8" s="2"/>
      </tp>
      <tp>
        <v>0</v>
        <stp/>
        <stp>S_E_IS_INTERESTINCOME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8" s="2"/>
      </tp>
      <tp>
        <v>103805872</v>
        <stp/>
        <stp>S_E_BS_SURPLUSRESERVE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36" s="2"/>
      </tp>
      <tp>
        <v>132377285.63</v>
        <stp/>
        <stp>S_E_BS_SURPLUSRESERVE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36" s="2"/>
      </tp>
      <tp>
        <v>267317045.84999999</v>
        <stp/>
        <stp>S_E_CFS_SUBTOTALOPCIF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54" s="2"/>
      </tp>
      <tp>
        <v>313848113.83000004</v>
        <stp/>
        <stp>S_E_CFS_SUBTOTALOPCOF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60" s="2"/>
      </tp>
      <tp>
        <v>338390305.61999995</v>
        <stp/>
        <stp>S_E_CFS_SUBTOTALOPCOF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60" s="2"/>
      </tp>
      <tp>
        <v>259981987.06999999</v>
        <stp/>
        <stp>S_E_CFS_SUBTOTALOPCIF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54" s="2"/>
      </tp>
      <tp>
        <v>0</v>
        <stp/>
        <stp>S_B_BS_LOANANDADVANCE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71" s="2"/>
      </tp>
      <tp>
        <v>0</v>
        <stp/>
        <stp>S_B_BS_LOANANDADVANCE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1" s="2"/>
      </tp>
      <tp>
        <v>98987.41</v>
        <stp/>
        <stp>S_E_CFS_EXRATECHANEFF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96" s="2"/>
      </tp>
      <tp>
        <v>-372973.21</v>
        <stp/>
        <stp>S_E_CFS_EXRATECHANEFF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96" s="2"/>
      </tp>
      <tp>
        <v>226312.62</v>
        <stp/>
        <stp>S_E_CFS_EXRATECHANEFF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96" s="2"/>
      </tp>
      <tp>
        <v>81808.210000000006</v>
        <stp/>
        <stp>S_E_CFS_EXRATECHANEFF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96" s="2"/>
      </tp>
      <tp>
        <v>215397039.78999999</v>
        <stp/>
        <stp>S_E_BS_LTEQUITYINVEST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5" s="2"/>
      </tp>
      <tp>
        <v>66499947.829999998</v>
        <stp/>
        <stp>S_E_BS_LTEQUITYINVEST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75" s="2"/>
      </tp>
      <tp>
        <v>-664500.55000000005</v>
        <stp/>
        <stp>S_E_CFS_EXRATECHANEFF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96" s="2"/>
      </tp>
      <tp>
        <v>-32936.15</v>
        <stp/>
        <stp>S_E_CFS_EXRATECHANEFF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96" s="2"/>
      </tp>
      <tp>
        <v>192370194.13</v>
        <stp/>
        <stp>S_E_BS_LTEQUITYINVEST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5" s="2"/>
      </tp>
      <tp>
        <v>220843865.86000001</v>
        <stp/>
        <stp>S_E_BS_LTEQUITYINVEST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5" s="2"/>
      </tp>
      <tp>
        <v>64554583.700000003</v>
        <stp/>
        <stp>S_E_BS_LTEQUITYINVEST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75" s="2"/>
      </tp>
      <tp>
        <v>179595279.09999999</v>
        <stp/>
        <stp>S_E_BS_LTEQUITYINVEST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5" s="2"/>
      </tp>
      <tp>
        <v>0</v>
        <stp/>
        <stp>S_B_BS_BRWCENTRALBANK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95" s="2"/>
      </tp>
      <tp>
        <v>0</v>
        <stp/>
        <stp>S_B_BS_BRWCENTRALBANK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5" s="2"/>
      </tp>
      <tp>
        <v>0</v>
        <stp/>
        <stp>S_B_BS_BRWCENTRALBANK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5" s="2"/>
      </tp>
      <tp>
        <v>0</v>
        <stp/>
        <stp>S_B_BS_BRWCENTRALBANK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95" s="2"/>
      </tp>
      <tp>
        <v>0</v>
        <stp/>
        <stp>S_B_BS_BRWCENTRALBANK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95" s="2"/>
      </tp>
      <tp>
        <v>0</v>
        <stp/>
        <stp>S_B_BS_BRWCENTRALBANK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5" s="2"/>
      </tp>
      <tp>
        <v>0</v>
        <stp/>
        <stp>S_E_BS_ACCUREDEXPENSE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14" s="2"/>
      </tp>
      <tp>
        <v>0</v>
        <stp/>
        <stp>S_E_BS_ACCUREDEXPENSE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14" s="2"/>
      </tp>
      <tp>
        <v>0</v>
        <stp/>
        <stp>S_E_BS_ACCUREDEXPENSE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4" s="2"/>
      </tp>
      <tp>
        <v>0</v>
        <stp/>
        <stp>S_E_BS_ACCUREDEXPENSE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14" s="2"/>
      </tp>
      <tp>
        <v>0</v>
        <stp/>
        <stp>S_E_BS_INVESTPROPERTY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6" s="2"/>
      </tp>
      <tp>
        <v>0</v>
        <stp/>
        <stp>S_E_BS_INVESTPROPERTY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76" s="2"/>
      </tp>
      <tp>
        <v>0</v>
        <stp/>
        <stp>S_E_BS_ACCUREDEXPENSE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14" s="2"/>
      </tp>
      <tp>
        <v>0</v>
        <stp/>
        <stp>S_E_BS_ACCUREDEXPENSE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4" s="2"/>
      </tp>
      <tp>
        <v>0</v>
        <stp/>
        <stp>S_E_BS_INVESTPROPERTY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6" s="2"/>
      </tp>
      <tp>
        <v>0</v>
        <stp/>
        <stp>S_E_BS_INVESTPROPERTY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6" s="2"/>
      </tp>
      <tp>
        <v>0</v>
        <stp/>
        <stp>S_E_BS_INVESTPROPERTY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6" s="2"/>
      </tp>
      <tp>
        <v>0</v>
        <stp/>
        <stp>S_E_BS_INVESTPROPERTY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76" s="2"/>
      </tp>
      <tp>
        <v>0</v>
        <stp/>
        <stp>S_I_IS_COMPENEXPENSE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6" s="2"/>
      </tp>
      <tp>
        <v>0</v>
        <stp/>
        <stp>S_I_IS_COMPENEXPENSE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6" s="2"/>
      </tp>
      <tp>
        <v>0</v>
        <stp/>
        <stp>S_I_IS_COMPENEXPENSE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6" s="2"/>
      </tp>
      <tp>
        <v>0</v>
        <stp/>
        <stp>S_I_IS_COMPENEXPENSE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6" s="2"/>
      </tp>
      <tp>
        <v>160791856.38999999</v>
        <stp/>
        <stp>S_E_IS_TOTALPROFIT</stp>
        <stp>603888.SH</stp>
        <stp>2016-09-30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6" s="7"/>
      </tp>
      <tp>
        <v>174047964</v>
        <stp/>
        <stp>S_E_IS_TOTALPROFIT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36" s="2"/>
        <tr r="E20" s="4"/>
      </tp>
      <tp>
        <v>280699734.65999997</v>
        <stp/>
        <stp>S_E_IS_TOTALPROFIT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36" s="2"/>
        <tr r="B20" s="4"/>
      </tp>
      <tp>
        <v>284437956.77999997</v>
        <stp/>
        <stp>S_E_IS_TOTALPROFIT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36" s="2"/>
        <tr r="F20" s="4"/>
      </tp>
      <tp>
        <v>261425173.41</v>
        <stp/>
        <stp>S_E_IS_TOTALPROFIT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6" s="7"/>
      </tp>
      <tp>
        <v>102192180.26000001</v>
        <stp/>
        <stp>S_E_IS_TOTALPROFIT</stp>
        <stp>603888.SH</stp>
        <stp>2016-06-30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6" s="7"/>
      </tp>
      <tp>
        <v>107688374.54000001</v>
        <stp/>
        <stp>S_E_IS_TOTALPROFIT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36" s="2"/>
        <tr r="D20" s="4"/>
      </tp>
      <tp>
        <v>245171777.13999999</v>
        <stp/>
        <stp>S_E_IS_GROSSREVENUE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" s="2"/>
        <tr r="G15" s="4"/>
        <tr r="G20" s="4"/>
      </tp>
      <tp>
        <v>206560034.19</v>
        <stp/>
        <stp>S_E_IS_GROSSREVENUE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5" s="4"/>
        <tr r="C20" s="4"/>
        <tr r="C6" s="2"/>
      </tp>
      <tp>
        <v>168920778.49000001</v>
        <stp/>
        <stp>S_E_IS_GROSSREVENUE</stp>
        <stp>603888.SH</stp>
        <stp>2016-03-31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6" s="7"/>
        <tr r="E11" s="7"/>
      </tp>
      <tp>
        <v>0</v>
        <stp/>
        <stp>S_I_IS_COMPENEXPENSE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6" s="2"/>
      </tp>
      <tp>
        <v>0</v>
        <stp/>
        <stp>S_I_IS_COMPENEXPENSE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6" s="2"/>
      </tp>
      <tp>
        <v>901850007.88</v>
        <stp/>
        <stp>S_E_IS_GROSSREVENUE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0" s="4"/>
        <tr r="E6" s="2"/>
        <tr r="E15" s="4"/>
      </tp>
      <tp>
        <v>794946106.76999998</v>
        <stp/>
        <stp>S_E_IS_GROSSREVENUE</stp>
        <stp>603888.SH</stp>
        <stp>2016-09-30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" s="7"/>
        <tr r="G16" s="7"/>
      </tp>
      <tp>
        <v>23152937.789999999</v>
        <stp/>
        <stp>S_E_IS_TOTALPROFIT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36" s="2"/>
        <tr r="G20" s="4"/>
      </tp>
      <tp>
        <v>19161436.620000001</v>
        <stp/>
        <stp>S_E_IS_TOTALPROFIT</stp>
        <stp>603888.SH</stp>
        <stp>2016-03-31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6" s="7"/>
      </tp>
      <tp>
        <v>21743853.879999999</v>
        <stp/>
        <stp>S_E_IS_TOTALPROFIT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36" s="2"/>
        <tr r="C20" s="4"/>
      </tp>
      <tp>
        <v>562845159.71000004</v>
        <stp/>
        <stp>S_E_IS_GROSSREVENUE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0" s="4"/>
        <tr r="D6" s="2"/>
        <tr r="D15" s="4"/>
      </tp>
      <tp>
        <v>532183519.00999999</v>
        <stp/>
        <stp>S_E_IS_GROSSREVENUE</stp>
        <stp>603888.SH</stp>
        <stp>2016-06-30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" s="7"/>
        <tr r="F16" s="7"/>
      </tp>
      <tp>
        <v>1501729289.8699999</v>
        <stp/>
        <stp>S_E_IS_GROSSREVENUE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" s="2"/>
        <tr r="F15" s="4"/>
        <tr r="F20" s="4"/>
      </tp>
      <tp>
        <v>1361356934.3099999</v>
        <stp/>
        <stp>S_E_IS_GROSSREVENUE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5" s="4"/>
        <tr r="B20" s="4"/>
        <tr r="B6" s="2"/>
      </tp>
      <tp>
        <v>997533568</v>
        <stp/>
        <stp>S_E_IS_GROSSREVENUE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6" s="7"/>
        <tr r="D11" s="7"/>
      </tp>
      <tp>
        <v>176469980</v>
        <stp/>
        <stp>S_SHARE_NONRESTRICTEDA</stp>
        <stp>603888.SH</stp>
        <stp>2018-01-23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I12" s="1"/>
      </tp>
      <tp>
        <v>0</v>
        <stp/>
        <stp>S_E_IS_NONCADEALLOSS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34" s="2"/>
      </tp>
      <tp>
        <v>0</v>
        <stp/>
        <stp>S_E_IS_NONCADEALLOSS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34" s="2"/>
      </tp>
      <tp>
        <v>6.6286967501876307E-2</v>
        <stp/>
        <stp>S_FA_DUPONT_ASSETSTURN</stp>
        <stp>603888.SH</stp>
        <stp>2018/3/31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" s="4"/>
      </tp>
      <tp>
        <v>27012933.5</v>
        <stp/>
        <stp>S_E_IS_NONOPINCOME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32" s="2"/>
      </tp>
      <tp>
        <v>37311366.450000003</v>
        <stp/>
        <stp>S_E_IS_NONOPINCOME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32" s="2"/>
      </tp>
      <tp>
        <v>6322957.6100000003</v>
        <stp/>
        <stp>S_E_IS_NONOPINCOME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32" s="2"/>
      </tp>
      <tp>
        <v>27079457.460000001</v>
        <stp/>
        <stp>S_E_IS_NONOPINCOME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32" s="2"/>
      </tp>
      <tp>
        <v>0</v>
        <stp/>
        <stp>S_E_IS_NONCADEALLOSS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34" s="2"/>
      </tp>
      <tp>
        <v>0</v>
        <stp/>
        <stp>S_E_IS_NONCADEALLOSS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34" s="2"/>
      </tp>
      <tp>
        <v>0</v>
        <stp/>
        <stp>S_E_IS_NONCADEALLOSS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34" s="2"/>
      </tp>
      <tp>
        <v>0</v>
        <stp/>
        <stp>S_E_IS_NONCADEALLOSS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34" s="2"/>
      </tp>
      <tp>
        <v>2393.2800000000002</v>
        <stp/>
        <stp>S_E_IS_NONOPINCOME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32" s="2"/>
      </tp>
      <tp>
        <v>15498</v>
        <stp/>
        <stp>S_E_IS_NONOPINCOME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32" s="2"/>
      </tp>
      <tp>
        <v>0</v>
        <stp/>
        <stp>S_E_BS_OTHERNONCURRLIABILITY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27" s="2"/>
      </tp>
      <tp>
        <v>30000000</v>
        <stp/>
        <stp>S_E_BS_OTHERNONCURRLIABILITY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27" s="2"/>
      </tp>
      <tp>
        <v>0.68</v>
        <stp/>
        <stp>S_E_IS_EPS_DILUTED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45" s="2"/>
      </tp>
      <tp>
        <v>0.54710000000000003</v>
        <stp/>
        <stp>S_E_IS_EPS_DILUTED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45" s="2"/>
      </tp>
      <tp>
        <v>0.20630000000000001</v>
        <stp/>
        <stp>S_E_IS_EPS_DILUTED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45" s="2"/>
      </tp>
      <tp>
        <v>0</v>
        <stp/>
        <stp>S_E_BS_LONGTERMLOAN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21" s="2"/>
      </tp>
      <tp>
        <v>0</v>
        <stp/>
        <stp>S_E_BS_LONGTERMLOAN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21" s="2"/>
      </tp>
      <tp>
        <v>0.3291</v>
        <stp/>
        <stp>S_E_IS_EPS_DILUTED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45" s="2"/>
      </tp>
      <tp>
        <v>0</v>
        <stp/>
        <stp>S_I_BS_UNEARNEDRRECEIVABLE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58" s="2"/>
      </tp>
      <tp>
        <v>0</v>
        <stp/>
        <stp>S_I_BS_UNEARNEDRRECEIVABLE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58" s="2"/>
      </tp>
      <tp>
        <v>0</v>
        <stp/>
        <stp>S_E_BS_LONGTERMLOAN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21" s="2"/>
      </tp>
      <tp>
        <v>0</v>
        <stp/>
        <stp>S_E_BS_LONGTERMLOAN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21" s="2"/>
      </tp>
      <tp>
        <v>0</v>
        <stp/>
        <stp>S_E_BS_OTHERNONCURRLIABILITY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27" s="2"/>
      </tp>
      <tp>
        <v>0</v>
        <stp/>
        <stp>S_E_BS_OTHERNONCURRLIABILITY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27" s="2"/>
      </tp>
      <tp>
        <v>65000000</v>
        <stp/>
        <stp>S_E_BS_OTHERNONCURRLIABILITY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27" s="2"/>
      </tp>
      <tp>
        <v>0</v>
        <stp/>
        <stp>S_E_BS_OTHERNONCURRLIABILITY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27" s="2"/>
      </tp>
      <tp>
        <v>3.9399999999999998E-2</v>
        <stp/>
        <stp>S_E_IS_EPS_DILUTED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45" s="2"/>
      </tp>
      <tp>
        <v>4.5699999999999998E-2</v>
        <stp/>
        <stp>S_E_IS_EPS_DILUTED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45" s="2"/>
      </tp>
      <tp>
        <v>0</v>
        <stp/>
        <stp>S_I_BS_UNEARNEDRRECEIVABLE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58" s="2"/>
      </tp>
      <tp>
        <v>0</v>
        <stp/>
        <stp>S_I_BS_UNEARNEDRRECEIVABLE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58" s="2"/>
      </tp>
      <tp>
        <v>0</v>
        <stp/>
        <stp>S_I_BS_UNEARNEDRRECEIVABLE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58" s="2"/>
      </tp>
      <tp>
        <v>0</v>
        <stp/>
        <stp>S_I_BS_UNEARNEDRRECEIVABLE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58" s="2"/>
      </tp>
      <tp>
        <v>0</v>
        <stp/>
        <stp>S_E_BS_LONGTERMLOAN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21" s="2"/>
      </tp>
      <tp>
        <v>0</v>
        <stp/>
        <stp>S_E_BS_LONGTERMLOAN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21" s="2"/>
      </tp>
      <tp>
        <v>0</v>
        <stp/>
        <stp>S_F_BS_DEBTINTERBANK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6" s="2"/>
      </tp>
      <tp>
        <v>0</v>
        <stp/>
        <stp>S_F_BS_DEBTINTERBANK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96" s="2"/>
      </tp>
      <tp>
        <v>0</v>
        <stp/>
        <stp>S_F_BS_DEBTINTERBANK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96" s="2"/>
      </tp>
      <tp>
        <v>0</v>
        <stp/>
        <stp>S_F_BS_DEBTINTERBANK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6" s="2"/>
      </tp>
      <tp>
        <v>0</v>
        <stp/>
        <stp>S_F_BS_DEBTINTERBANK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6" s="2"/>
      </tp>
      <tp>
        <v>0</v>
        <stp/>
        <stp>S_F_BS_DEBTINTERBANK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96" s="2"/>
      </tp>
      <tp>
        <v>0</v>
        <stp/>
        <stp>S_E_CFS_CASHFROMBOND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84" s="2"/>
      </tp>
      <tp>
        <v>0</v>
        <stp/>
        <stp>S_E_CFS_CASHFROMBOND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84" s="2"/>
      </tp>
      <tp>
        <v>207611744</v>
        <stp/>
        <stp>S_E_BS_PAIDINCAPITAL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33" s="2"/>
      </tp>
      <tp>
        <v>519029360</v>
        <stp/>
        <stp>S_E_BS_PAIDINCAPITAL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33" s="2"/>
      </tp>
      <tp>
        <v>4738514.82</v>
        <stp/>
        <stp>S_E_IS_INVESTINCOME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27" s="2"/>
      </tp>
      <tp>
        <v>-4038076.07</v>
        <stp/>
        <stp>S_E_IS_INVESTINCOME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7" s="2"/>
      </tp>
      <tp>
        <v>824079151.46000004</v>
        <stp/>
        <stp>S_E_CFS_ENDCASHEQUI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00" s="2"/>
      </tp>
      <tp>
        <v>1530597307.6900001</v>
        <stp/>
        <stp>S_E_CFS_ENDCASHEQUI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200" s="2"/>
      </tp>
      <tp>
        <v>0.42664618549487615</v>
        <stp/>
        <stp>S_FA_DUPONT_ASSETSTURN</stp>
        <stp>603888.SH</stp>
        <stp>2017-12-31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" s="4"/>
      </tp>
      <tp>
        <v>0.5396106024562618</v>
        <stp/>
        <stp>S_FA_DUPONT_ASSETSTURN</stp>
        <stp>603888.SH</stp>
        <stp>2016-12-31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" s="4"/>
      </tp>
      <tp>
        <v>0.63921137839755982</v>
        <stp/>
        <stp>S_FA_DUPONT_ASSETSTURN</stp>
        <stp>603888.SH</stp>
        <stp>2015-12-31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6" s="7"/>
      </tp>
      <tp>
        <v>0.16475172113957595</v>
        <stp/>
        <stp>S_FA_DUPONT_ASSETSTURN</stp>
        <stp>603888.SH</stp>
        <stp>2017-06-30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" s="4"/>
      </tp>
      <tp>
        <v>0.29759384938862626</v>
        <stp/>
        <stp>S_FA_DUPONT_ASSETSTURN</stp>
        <stp>603888.SH</stp>
        <stp>2016-06-30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" s="7"/>
      </tp>
      <tp>
        <v>0.26309569497951624</v>
        <stp/>
        <stp>S_FA_DUPONT_ASSETSTURN</stp>
        <stp>603888.SH</stp>
        <stp>2017-09-30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" s="4"/>
      </tp>
      <tp>
        <v>0.43482134038270326</v>
        <stp/>
        <stp>S_FA_DUPONT_ASSETSTURN</stp>
        <stp>603888.SH</stp>
        <stp>2016-09-30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" s="7"/>
      </tp>
      <tp>
        <v>6.2480093524321947E-2</v>
        <stp/>
        <stp>S_FA_DUPONT_ASSETSTURN</stp>
        <stp>603888.SH</stp>
        <stp>2017-03-31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" s="4"/>
      </tp>
      <tp>
        <v>0</v>
        <stp/>
        <stp>S_FA_DUPONT_ASSETSTURN</stp>
        <stp>603888.SH</stp>
        <stp>2016-03-31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6" s="7"/>
      </tp>
      <tp>
        <v>6.6286967501876307E-2</v>
        <stp/>
        <stp>S_FA_DUPONT_ASSETSTURN</stp>
        <stp>603888.SH</stp>
        <stp>2018-03-31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" s="4"/>
      </tp>
      <tp>
        <v>0</v>
        <stp/>
        <stp>S_E_CFS_CASHFROMBOND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84" s="2"/>
      </tp>
      <tp>
        <v>0</v>
        <stp/>
        <stp>S_E_CFS_CASHFROMBOND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84" s="2"/>
      </tp>
      <tp>
        <v>0</v>
        <stp/>
        <stp>S_E_CFS_CASHFROMBOND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84" s="2"/>
      </tp>
      <tp>
        <v>0</v>
        <stp/>
        <stp>S_E_CFS_CASHFROMBOND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84" s="2"/>
      </tp>
      <tp>
        <v>519029360</v>
        <stp/>
        <stp>S_E_BS_PAIDINCAPITAL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33" s="2"/>
      </tp>
      <tp>
        <v>207611744</v>
        <stp/>
        <stp>S_E_BS_PAIDINCAPITAL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33" s="2"/>
      </tp>
      <tp>
        <v>519029360</v>
        <stp/>
        <stp>S_E_BS_PAIDINCAPITAL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33" s="2"/>
      </tp>
      <tp>
        <v>519029360</v>
        <stp/>
        <stp>S_E_BS_PAIDINCAPITAL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33" s="2"/>
      </tp>
      <tp>
        <v>10635334.52</v>
        <stp/>
        <stp>S_E_IS_INVESTINCOME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7" s="2"/>
      </tp>
      <tp>
        <v>853371314.35000002</v>
        <stp/>
        <stp>S_E_CFS_ENDCASHEQUI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00" s="2"/>
      </tp>
      <tp>
        <v>-4191850.81</v>
        <stp/>
        <stp>S_E_IS_INVESTINCOME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27" s="2"/>
      </tp>
      <tp>
        <v>85348143.560000002</v>
        <stp/>
        <stp>S_E_IS_INVESTINCOME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7" s="2"/>
      </tp>
      <tp>
        <v>1139306557.6700001</v>
        <stp/>
        <stp>S_E_CFS_ENDCASHEQUI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00" s="2"/>
      </tp>
      <tp>
        <v>55997744.399999999</v>
        <stp/>
        <stp>S_E_IS_INVESTINCOME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7" s="2"/>
      </tp>
      <tp>
        <v>1327625613.04</v>
        <stp/>
        <stp>S_E_CFS_ENDCASHEQUI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00" s="2"/>
      </tp>
      <tp>
        <v>840169647.80999994</v>
        <stp/>
        <stp>S_E_CFS_ENDCASHEQUI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200" s="2"/>
      </tp>
      <tp>
        <v>0</v>
        <stp/>
        <stp>S_E_CFS_DIVIPAYMENT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88" s="2"/>
      </tp>
      <tp>
        <v>0</v>
        <stp/>
        <stp>S_E_CFS_DIVIPAYMENT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88" s="2"/>
      </tp>
      <tp>
        <v>0</v>
        <stp/>
        <stp>S_I_BS_LTHEALTHINSURRESERVE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9" s="2"/>
      </tp>
      <tp>
        <v>0</v>
        <stp/>
        <stp>S_I_BS_LTHEALTHINSURRESERVE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9" s="2"/>
      </tp>
      <tp>
        <v>0</v>
        <stp/>
        <stp>S_E_BS_BONDPAYABLE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22" s="2"/>
      </tp>
      <tp>
        <v>0</v>
        <stp/>
        <stp>S_E_BS_BONDPAYABLE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22" s="2"/>
      </tp>
      <tp>
        <v>50162.76</v>
        <stp/>
        <stp>S_E_IS_NONOPEXPENSE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33" s="2"/>
      </tp>
      <tp>
        <v>178666.34</v>
        <stp/>
        <stp>S_E_IS_NONOPEXPENSE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33" s="2"/>
      </tp>
      <tp>
        <v>0.42664618549487615</v>
        <stp/>
        <stp>S_FA_DUPONT_ASSETSTURN</stp>
        <stp>603888.SH</stp>
        <stp>2017/12/31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" s="4"/>
      </tp>
      <tp>
        <v>0.5396106024562618</v>
        <stp/>
        <stp>S_FA_DUPONT_ASSETSTURN</stp>
        <stp>603888.SH</stp>
        <stp>2016/12/31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7" s="4"/>
      </tp>
      <tp>
        <v>0</v>
        <stp/>
        <stp>S_E_CFS_DIVIPAYMENT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88" s="2"/>
      </tp>
      <tp>
        <v>0</v>
        <stp/>
        <stp>S_I_BS_LTHEALTHINSURRESERVE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9" s="2"/>
      </tp>
      <tp>
        <v>0</v>
        <stp/>
        <stp>S_E_CFS_DIVIPAYMENT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88" s="2"/>
      </tp>
      <tp>
        <v>352939964.80000001</v>
        <stp/>
        <stp>S_E_CFS_DIVIPAYMENT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88" s="2"/>
      </tp>
      <tp>
        <v>0</v>
        <stp/>
        <stp>S_I_BS_LTHEALTHINSURRESERVE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9" s="2"/>
      </tp>
      <tp>
        <v>0</v>
        <stp/>
        <stp>S_E_CFS_DIVIPAYMENT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88" s="2"/>
      </tp>
      <tp>
        <v>0</v>
        <stp/>
        <stp>S_I_BS_LTHEALTHINSURRESERVE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9" s="2"/>
      </tp>
      <tp>
        <v>0</v>
        <stp/>
        <stp>S_I_BS_LTHEALTHINSURRESERVE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9" s="2"/>
      </tp>
      <tp>
        <v>13526.93</v>
        <stp/>
        <stp>S_E_IS_NONOPEXPENSE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33" s="2"/>
      </tp>
      <tp>
        <v>0</v>
        <stp/>
        <stp>S_E_BS_BONDPAYABLE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22" s="2"/>
      </tp>
      <tp>
        <v>336525.93</v>
        <stp/>
        <stp>S_E_IS_NONOPEXPENSE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33" s="2"/>
      </tp>
      <tp>
        <v>278875.45</v>
        <stp/>
        <stp>S_E_IS_NONOPEXPENSE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33" s="2"/>
      </tp>
      <tp>
        <v>0</v>
        <stp/>
        <stp>S_E_BS_BONDPAYABLE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22" s="2"/>
      </tp>
      <tp>
        <v>0</v>
        <stp/>
        <stp>S_E_BS_BONDPAYABLE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22" s="2"/>
      </tp>
      <tp>
        <v>0</v>
        <stp/>
        <stp>S_E_BS_BONDPAYABLE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22" s="2"/>
      </tp>
      <tp>
        <v>59126.93</v>
        <stp/>
        <stp>S_E_IS_NONOPEXPENSE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33" s="2"/>
      </tp>
      <tp>
        <v>0</v>
        <stp/>
        <stp>S_E_BS_NOTESPAYABLE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99" s="2"/>
      </tp>
      <tp>
        <v>0</v>
        <stp/>
        <stp>S_E_BS_NOTESPAYABLE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9" s="2"/>
      </tp>
      <tp>
        <v>0</v>
        <stp/>
        <stp>S_E_BS_NOTESPAYABLE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99" s="2"/>
      </tp>
      <tp>
        <v>0</v>
        <stp/>
        <stp>S_E_BS_NOTESPAYABLE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9" s="2"/>
      </tp>
      <tp>
        <v>16229508.470000001</v>
        <stp/>
        <stp>S_E_BS_OTHERPAYABLE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7" s="2"/>
      </tp>
      <tp>
        <v>53935472.75</v>
        <stp/>
        <stp>S_E_BS_OTHERPAYABLE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7" s="2"/>
      </tp>
      <tp>
        <v>15378562.279999999</v>
        <stp/>
        <stp>S_E_BS_OTHERPAYABLE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7" s="2"/>
      </tp>
      <tp>
        <v>15974221.58</v>
        <stp/>
        <stp>S_E_BS_OTHERPAYABLE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7" s="2"/>
      </tp>
      <tp>
        <v>0</v>
        <stp/>
        <stp>S_E_BS_NOTESPAYABLE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9" s="2"/>
      </tp>
      <tp>
        <v>0</v>
        <stp/>
        <stp>S_E_BS_NOTESPAYABLE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99" s="2"/>
      </tp>
      <tp>
        <v>6.2480093524321947E-2</v>
        <stp/>
        <stp>S_FA_DUPONT_ASSETSTURN</stp>
        <stp>603888.SH</stp>
        <stp>2017/3/31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7" s="4"/>
      </tp>
      <tp>
        <v>0.16475172113957595</v>
        <stp/>
        <stp>S_FA_DUPONT_ASSETSTURN</stp>
        <stp>603888.SH</stp>
        <stp>2017/6/30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" s="4"/>
      </tp>
      <tp>
        <v>0.26309569497951624</v>
        <stp/>
        <stp>S_FA_DUPONT_ASSETSTURN</stp>
        <stp>603888.SH</stp>
        <stp>2017/9/30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" s="4"/>
      </tp>
      <tp>
        <v>53294264.119999997</v>
        <stp/>
        <stp>S_E_BS_OTHERPAYABLE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7" s="2"/>
      </tp>
      <tp>
        <v>15209794.029999999</v>
        <stp/>
        <stp>S_E_BS_OTHERPAYABLE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7" s="2"/>
      </tp>
      <tp>
        <v>0</v>
        <stp/>
        <stp>S_E_BS_FALIQUIDATION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80" s="2"/>
      </tp>
      <tp>
        <v>0</v>
        <stp/>
        <stp>S_E_BS_FALIQUIDATION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80" s="2"/>
      </tp>
      <tp>
        <v>0</v>
        <stp/>
        <stp>S_I_IS_REINSURCOST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9" s="2"/>
      </tp>
      <tp>
        <v>0</v>
        <stp/>
        <stp>S_I_IS_REINSURCOST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9" s="2"/>
      </tp>
      <tp>
        <v>171329210.25</v>
        <stp/>
        <stp>S_E_IS_SALEEXPENSE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1" s="2"/>
      </tp>
      <tp>
        <v>108300190.95</v>
        <stp/>
        <stp>S_E_IS_SALEEXPENSE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1" s="2"/>
      </tp>
      <tp>
        <v>269340571.31999999</v>
        <stp/>
        <stp>S_E_IS_SALEEXPENSE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21" s="2"/>
      </tp>
      <tp>
        <v>299346940.32999998</v>
        <stp/>
        <stp>S_E_IS_SALEEXPENSE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1" s="2"/>
      </tp>
      <tp>
        <v>0</v>
        <stp/>
        <stp>S_E_BS_FALIQUIDATION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80" s="2"/>
      </tp>
      <tp>
        <v>0</v>
        <stp/>
        <stp>S_E_BS_FALIQUIDATION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80" s="2"/>
      </tp>
      <tp>
        <v>0</v>
        <stp/>
        <stp>S_E_BS_FALIQUIDATION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80" s="2"/>
      </tp>
      <tp>
        <v>0</v>
        <stp/>
        <stp>S_E_BS_FALIQUIDATION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80" s="2"/>
      </tp>
      <tp>
        <v>0</v>
        <stp/>
        <stp>S_I_IS_REINSURCOST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9" s="2"/>
      </tp>
      <tp>
        <v>0</v>
        <stp/>
        <stp>S_I_IS_REINSURCOST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9" s="2"/>
      </tp>
      <tp>
        <v>0</v>
        <stp/>
        <stp>S_I_IS_REINSURCOST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9" s="2"/>
      </tp>
      <tp>
        <v>0</v>
        <stp/>
        <stp>S_I_IS_REINSURCOST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9" s="2"/>
      </tp>
      <tp>
        <v>60446089.060000002</v>
        <stp/>
        <stp>S_E_IS_SALEEXPENSE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21" s="2"/>
      </tp>
      <tp>
        <v>49418614.880000003</v>
        <stp/>
        <stp>S_E_IS_SALEEXPENSE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1" s="2"/>
      </tp>
      <tp>
        <v>0</v>
        <stp/>
        <stp>S_E_BS_BEARBIOASSETS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4" s="2"/>
      </tp>
      <tp>
        <v>0</v>
        <stp/>
        <stp>S_E_BS_BEARBIOASSETS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64" s="2"/>
      </tp>
      <tp>
        <v>0</v>
        <stp/>
        <stp>S_E_BS_BEARBIOASSETS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64" s="2"/>
      </tp>
      <tp>
        <v>0</v>
        <stp/>
        <stp>S_E_BS_BEARBIOASSETS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64" s="2"/>
      </tp>
      <tp>
        <v>0</v>
        <stp/>
        <stp>S_E_CFS_FIXINTANGIBLEDISPO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66" s="2"/>
      </tp>
      <tp>
        <v>34912.910000000003</v>
        <stp/>
        <stp>S_E_CFS_FIXINTANGIBLEDISPO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66" s="2"/>
      </tp>
      <tp>
        <v>0</v>
        <stp/>
        <stp>S_E_CFS_FIXINTANGIBLEDISPO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66" s="2"/>
      </tp>
      <tp>
        <v>0</v>
        <stp/>
        <stp>S_E_CFS_FIXINTANGIBLEDISPO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66" s="2"/>
      </tp>
      <tp>
        <v>0</v>
        <stp/>
        <stp>S_E_BS_BEARBIOASSETS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64" s="2"/>
      </tp>
      <tp>
        <v>0</v>
        <stp/>
        <stp>S_E_BS_BEARBIOASSETS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4" s="2"/>
      </tp>
      <tp>
        <v>16000</v>
        <stp/>
        <stp>S_E_CFS_FIXINTANGIBLEDISPO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66" s="2"/>
      </tp>
      <tp>
        <v>0</v>
        <stp/>
        <stp>S_E_CFS_FIXINTANGIBLEDISPO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66" s="2"/>
      </tp>
      <tp>
        <v>0</v>
        <stp/>
        <stp>S_I_BS_COMMISPAYABLE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3" s="2"/>
      </tp>
      <tp>
        <v>0</v>
        <stp/>
        <stp>S_I_BS_COMMISPAYABLE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3" s="2"/>
      </tp>
      <tp>
        <v>0</v>
        <stp/>
        <stp>S_I_BS_COMMISPAYABLE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3" s="2"/>
      </tp>
      <tp>
        <v>0</v>
        <stp/>
        <stp>S_I_BS_COMMISPAYABLE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3" s="2"/>
      </tp>
      <tp>
        <v>371030798.20999998</v>
        <stp/>
        <stp>S_E_CFS_GOODSERVICECASHOUT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55" s="2"/>
      </tp>
      <tp>
        <v>150333801.87</v>
        <stp/>
        <stp>S_E_CFS_GOODSERVICECASHOUT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55" s="2"/>
      </tp>
      <tp>
        <v>648924961.33000004</v>
        <stp/>
        <stp>S_E_CFS_GOODSERVICECASHOUT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55" s="2"/>
      </tp>
      <tp>
        <v>500703262.31</v>
        <stp/>
        <stp>S_E_CFS_GOODSERVICECASHOUT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55" s="2"/>
      </tp>
      <tp>
        <v>2496084321.9699998</v>
        <stp/>
        <stp>S_E_BS_SEWITHOUTMI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43" s="2"/>
      </tp>
      <tp>
        <v>2729190530.5900002</v>
        <stp/>
        <stp>S_E_BS_SEWITHOUTMI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43" s="2"/>
      </tp>
      <tp>
        <v>2358058085.21</v>
        <stp/>
        <stp>S_E_BS_SEWITHOUTMI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43" s="2"/>
      </tp>
      <tp>
        <v>2641585374.0300002</v>
        <stp/>
        <stp>S_E_BS_SEWITHOUTMI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43" s="2"/>
      </tp>
      <tp>
        <v>0</v>
        <stp/>
        <stp>S_I_BS_COMMISPAYABLE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3" s="2"/>
      </tp>
      <tp>
        <v>0</v>
        <stp/>
        <stp>S_I_BS_COMMISPAYABLE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3" s="2"/>
      </tp>
      <tp>
        <v>133490529.84999999</v>
        <stp/>
        <stp>S_E_CFS_GOODSERVICECASHOUT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55" s="2"/>
      </tp>
      <tp>
        <v>159530096.37</v>
        <stp/>
        <stp>S_E_CFS_GOODSERVICECASHOUT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55" s="2"/>
      </tp>
      <tp>
        <v>2440351085.7900004</v>
        <stp/>
        <stp>S_E_BS_SEWITHOUTMI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43" s="2"/>
      </tp>
      <tp>
        <v>2736773406.8400002</v>
        <stp/>
        <stp>S_E_BS_SEWITHOUTMI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43" s="2"/>
      </tp>
      <tp>
        <v>923995.48</v>
        <stp/>
        <stp>S_E_BS_DEVELOPEXPEND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84" s="2"/>
      </tp>
      <tp>
        <v>0</v>
        <stp/>
        <stp>S_E_BS_DEVELOPEXPEND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84" s="2"/>
      </tp>
      <tp>
        <v>0</v>
        <stp/>
        <stp>S_S_BS_LENDCAPITAL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51" s="2"/>
      </tp>
      <tp>
        <v>0</v>
        <stp/>
        <stp>S_S_BS_LENDCAPITAL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51" s="2"/>
      </tp>
      <tp>
        <v>0</v>
        <stp/>
        <stp>S_E_BS_DEVELOPEXPEND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84" s="2"/>
      </tp>
      <tp>
        <v>0</v>
        <stp/>
        <stp>S_E_BS_DEVELOPEXPEND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84" s="2"/>
      </tp>
      <tp>
        <v>0</v>
        <stp/>
        <stp>S_E_BS_DEVELOPEXPEND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84" s="2"/>
      </tp>
      <tp>
        <v>0</v>
        <stp/>
        <stp>S_E_BS_DEVELOPEXPEND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84" s="2"/>
      </tp>
      <tp>
        <v>0</v>
        <stp/>
        <stp>S_S_BS_LENDCAPITAL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51" s="2"/>
      </tp>
      <tp>
        <v>0</v>
        <stp/>
        <stp>S_S_BS_LENDCAPITAL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51" s="2"/>
      </tp>
      <tp>
        <v>0</v>
        <stp/>
        <stp>S_S_BS_LENDCAPITAL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51" s="2"/>
      </tp>
      <tp>
        <v>0</v>
        <stp/>
        <stp>S_S_BS_LENDCAPITAL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51" s="2"/>
      </tp>
      <tp>
        <v>17641658.260000002</v>
        <stp/>
        <stp>S_E_BS_SALARYPAYABLE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4" s="2"/>
      </tp>
      <tp>
        <v>43867123.950000003</v>
        <stp/>
        <stp>S_E_BS_SALARYPAYABLE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4" s="2"/>
      </tp>
      <tp>
        <v>65044971.200000003</v>
        <stp/>
        <stp>S_E_BS_SALARYPAYABLE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4" s="2"/>
      </tp>
      <tp>
        <v>17721807.59</v>
        <stp/>
        <stp>S_E_BS_SALARYPAYABLE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4" s="2"/>
      </tp>
      <tp>
        <v>21926445.030000001</v>
        <stp/>
        <stp>S_E_BS_SALARYPAYABLE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4" s="2"/>
      </tp>
      <tp>
        <v>36713206.609999999</v>
        <stp/>
        <stp>S_E_BS_SALARYPAYABLE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4" s="2"/>
      </tp>
      <tp>
        <v>184494818.09</v>
        <stp/>
        <stp>S_E_BS_FIXEDASSETS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7" s="2"/>
      </tp>
      <tp>
        <v>88084463.040000007</v>
        <stp/>
        <stp>S_E_BS_FIXEDASSETS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77" s="2"/>
      </tp>
      <tp>
        <v>0</v>
        <stp/>
        <stp>S_E_IS_COMMISINCOME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" s="2"/>
      </tp>
      <tp>
        <v>0</v>
        <stp/>
        <stp>S_E_IS_COMMISINCOME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" s="2"/>
      </tp>
      <tp>
        <v>0</v>
        <stp/>
        <stp>S_E_CFS_BORROWREPAY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87" s="2"/>
      </tp>
      <tp>
        <v>92667066.900000006</v>
        <stp/>
        <stp>S_E_BS_FIXEDASSETS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7" s="2"/>
      </tp>
      <tp>
        <v>0</v>
        <stp/>
        <stp>S_E_CFS_BORROWREPAY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87" s="2"/>
      </tp>
      <tp>
        <v>0</v>
        <stp/>
        <stp>S_E_CFS_BORROWREPAY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87" s="2"/>
      </tp>
      <tp>
        <v>97411715.349999994</v>
        <stp/>
        <stp>S_E_BS_FIXEDASSETS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7" s="2"/>
      </tp>
      <tp>
        <v>0</v>
        <stp/>
        <stp>S_E_CFS_BORROWREPAY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87" s="2"/>
      </tp>
      <tp>
        <v>177742457.16999999</v>
        <stp/>
        <stp>S_E_BS_FIXEDASSETS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7" s="2"/>
      </tp>
      <tp>
        <v>87146996.25</v>
        <stp/>
        <stp>S_E_BS_FIXEDASSETS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77" s="2"/>
      </tp>
      <tp>
        <v>0</v>
        <stp/>
        <stp>S_E_IS_COMMISINCOME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" s="2"/>
      </tp>
      <tp>
        <v>0</v>
        <stp/>
        <stp>S_E_IS_COMMISINCOME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" s="2"/>
      </tp>
      <tp>
        <v>0</v>
        <stp/>
        <stp>S_E_CFS_BORROWREPAY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87" s="2"/>
      </tp>
      <tp>
        <v>0</v>
        <stp/>
        <stp>S_E_CFS_BORROWREPAY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87" s="2"/>
      </tp>
      <tp>
        <v>0</v>
        <stp/>
        <stp>S_E_IS_COMMISINCOME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" s="2"/>
      </tp>
      <tp>
        <v>0</v>
        <stp/>
        <stp>S_E_IS_COMMISINCOME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" s="2"/>
      </tp>
      <tp>
        <v>80910987.36999999</v>
        <stp/>
        <stp>S_E_CFS_FIXINTANGIBLEACQUI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71" s="2"/>
      </tp>
      <tp>
        <v>57196340.710000001</v>
        <stp/>
        <stp>S_E_CFS_FIXINTANGIBLEACQUI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71" s="2"/>
      </tp>
      <tp>
        <v>295999207.16000003</v>
        <stp/>
        <stp>S_E_CFS_FIXINTANGIBLEACQUI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71" s="2"/>
      </tp>
      <tp>
        <v>62608495.82</v>
        <stp/>
        <stp>S_E_CFS_FIXINTANGIBLEACQUI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71" s="2"/>
      </tp>
      <tp>
        <v>2643643153.6999998</v>
        <stp/>
        <stp>S_E_BS_TOTALEQUITY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44" s="2"/>
      </tp>
      <tp>
        <v>2768099466.21</v>
        <stp/>
        <stp>S_E_BS_TOTALEQUITY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44" s="2"/>
      </tp>
      <tp>
        <v>2358724751.8800001</v>
        <stp/>
        <stp>S_E_BS_TOTALEQUITY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44" s="2"/>
      </tp>
      <tp>
        <v>56033872.710000001</v>
        <stp/>
        <stp>S_E_IS_ADMINEXPENSE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2" s="2"/>
      </tp>
      <tp>
        <v>64964968.829999998</v>
        <stp/>
        <stp>S_E_IS_ADMINEXPENSE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2" s="2"/>
      </tp>
      <tp>
        <v>2705720330.9499998</v>
        <stp/>
        <stp>S_E_BS_TOTALEQUITY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44" s="2"/>
      </tp>
      <tp>
        <v>81081868.190000013</v>
        <stp/>
        <stp>S_E_IS_ADMINEXPENSE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22" s="2"/>
      </tp>
      <tp>
        <v>76742104.069999993</v>
        <stp/>
        <stp>S_E_IS_ADMINEXPENSE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2" s="2"/>
      </tp>
      <tp>
        <v>31014986.699999999</v>
        <stp/>
        <stp>S_E_CFS_FIXINTANGIBLEACQUI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71" s="2"/>
      </tp>
      <tp>
        <v>25436130.73</v>
        <stp/>
        <stp>S_E_CFS_FIXINTANGIBLEACQUI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71" s="2"/>
      </tp>
      <tp>
        <v>2774909067.1100001</v>
        <stp/>
        <stp>S_E_BS_TOTALEQUITY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44" s="2"/>
      </tp>
      <tp>
        <v>2463871191.6500001</v>
        <stp/>
        <stp>S_E_BS_TOTALEQUITY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44" s="2"/>
      </tp>
      <tp>
        <v>29232599.73</v>
        <stp/>
        <stp>S_E_IS_ADMINEXPENSE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22" s="2"/>
      </tp>
      <tp>
        <v>18122061.940000001</v>
        <stp/>
        <stp>S_E_IS_ADMINEXPENSE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2" s="2"/>
      </tp>
      <tp>
        <v>0</v>
        <stp/>
        <stp>S_E_IS_COMMISEXPENSE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4" s="2"/>
      </tp>
      <tp>
        <v>0</v>
        <stp/>
        <stp>S_E_IS_COMMISEXPENSE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4" s="2"/>
      </tp>
      <tp>
        <v>0</v>
        <stp/>
        <stp>S_E_BS_TREASURYSTOCK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35" s="2"/>
      </tp>
      <tp>
        <v>0</v>
        <stp/>
        <stp>S_E_BS_TREASURYSTOCK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35" s="2"/>
      </tp>
      <tp>
        <v>0</v>
        <stp/>
        <stp>S_E_BS_TREASURYSTOCK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35" s="2"/>
      </tp>
      <tp>
        <v>0</v>
        <stp/>
        <stp>S_E_BS_TREASURYSTOCK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35" s="2"/>
      </tp>
      <tp>
        <v>1893596346.76</v>
        <stp/>
        <stp>S_E_BS_TOTALASSETS</stp>
        <stp>603888.SH</stp>
        <stp>2016-09-30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4" s="7"/>
      </tp>
      <tp>
        <v>0</v>
        <stp/>
        <stp>S_E_BS_TOTALASSETS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6" s="4"/>
        <tr r="E25" s="4"/>
        <tr r="E17" s="4"/>
        <tr r="E22" s="4"/>
        <tr r="E18" s="4"/>
        <tr r="E24" s="4"/>
        <tr r="E23" s="4"/>
        <tr r="E47" s="2"/>
      </tp>
      <tp>
        <v>0</v>
        <stp/>
        <stp>S_E_BS_TOTALASSETS</stp>
        <stp>603888.SH</stp>
        <stp>2016-09-30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2" s="7"/>
        <tr r="G23" s="7"/>
        <tr r="G3" s="7"/>
      </tp>
      <tp>
        <v>3572809273.6700001</v>
        <stp/>
        <stp>S_E_BS_TOTALASSETS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2" s="2"/>
        <tr r="E18" s="4"/>
      </tp>
      <tp>
        <v>1762830019.3900001</v>
        <stp/>
        <stp>S_E_BS_TOTALASSETS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6" s="4"/>
        <tr r="D12" s="7"/>
        <tr r="G12" s="7"/>
        <tr r="D14" s="7"/>
        <tr r="F12" s="7"/>
        <tr r="E12" s="7"/>
        <tr r="D23" s="7"/>
        <tr r="D3" s="7"/>
      </tp>
      <tp>
        <v>0</v>
        <stp/>
        <stp>S_E_BS_TOTALASSETS</stp>
        <stp>603888.SH</stp>
        <stp>2014-12-31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2" s="7"/>
      </tp>
      <tp>
        <v>3760046635.79</v>
        <stp/>
        <stp>S_E_BS_TOTALASSETS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2" s="2"/>
        <tr r="F25" s="4"/>
        <tr r="F17" s="4"/>
        <tr r="F22" s="4"/>
        <tr r="F18" s="4"/>
        <tr r="F18" s="4"/>
        <tr r="F23" s="4"/>
        <tr r="G16" s="4"/>
        <tr r="F24" s="4"/>
        <tr r="F16" s="4"/>
        <tr r="F47" s="2"/>
      </tp>
      <tp>
        <v>3282871188.5300002</v>
        <stp/>
        <stp>S_E_BS_TOTALASSETS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92" s="2"/>
        <tr r="B23" s="4"/>
        <tr r="D16" s="4"/>
        <tr r="E16" s="4"/>
        <tr r="C16" s="4"/>
        <tr r="B24" s="4"/>
        <tr r="B16" s="4"/>
        <tr r="B25" s="4"/>
        <tr r="B17" s="4"/>
        <tr r="B22" s="4"/>
        <tr r="B18" s="4"/>
        <tr r="B18" s="4"/>
        <tr r="F16" s="4"/>
        <tr r="B47" s="2"/>
      </tp>
      <tp>
        <v>1813746042.9400001</v>
        <stp/>
        <stp>S_E_BS_TOTALASSETS</stp>
        <stp>603888.SH</stp>
        <stp>2016-06-30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4" s="7"/>
      </tp>
      <tp>
        <v>0</v>
        <stp/>
        <stp>S_E_BS_TOTALASSETS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4" s="4"/>
        <tr r="D16" s="4"/>
        <tr r="D25" s="4"/>
        <tr r="D17" s="4"/>
        <tr r="D22" s="4"/>
        <tr r="D18" s="4"/>
        <tr r="D23" s="4"/>
        <tr r="D47" s="2"/>
      </tp>
      <tp>
        <v>0</v>
        <stp/>
        <stp>S_E_BS_TOTALASSETS</stp>
        <stp>603888.SH</stp>
        <stp>2016-06-30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2" s="7"/>
        <tr r="F3" s="7"/>
        <tr r="F23" s="7"/>
      </tp>
      <tp>
        <v>3549775606.5</v>
        <stp/>
        <stp>S_E_BS_TOTALASSETS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92" s="2"/>
        <tr r="D18" s="4"/>
      </tp>
      <tp>
        <v>0</v>
        <stp/>
        <stp>S_E_IS_COMMISEXPENSE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4" s="2"/>
      </tp>
      <tp>
        <v>0</v>
        <stp/>
        <stp>S_E_IS_COMMISEXPENSE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4" s="2"/>
      </tp>
      <tp>
        <v>0</v>
        <stp/>
        <stp>S_E_IS_COMMISEXPENSE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4" s="2"/>
      </tp>
      <tp>
        <v>0</v>
        <stp/>
        <stp>S_E_IS_COMMISEXPENSE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4" s="2"/>
      </tp>
      <tp>
        <v>0</v>
        <stp/>
        <stp>S_E_BS_TREASURYSTOCK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35" s="2"/>
      </tp>
      <tp>
        <v>0</v>
        <stp/>
        <stp>S_E_BS_TREASURYSTOCK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35" s="2"/>
      </tp>
      <tp>
        <v>3637237819.3499999</v>
        <stp/>
        <stp>S_E_BS_TOTALASSETS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2" s="2"/>
        <tr r="G18" s="4"/>
      </tp>
      <tp>
        <v>0</v>
        <stp/>
        <stp>S_E_BS_TOTALASSETS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2" s="4"/>
        <tr r="G18" s="4"/>
        <tr r="G25" s="4"/>
        <tr r="G17" s="4"/>
        <tr r="G23" s="4"/>
        <tr r="G24" s="4"/>
        <tr r="G16" s="4"/>
        <tr r="G47" s="2"/>
      </tp>
      <tp>
        <v>0</v>
        <stp/>
        <stp>S_E_BS_TOTALASSETS</stp>
        <stp>603888.SH</stp>
        <stp>2016-03-31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4" s="7"/>
      </tp>
      <tp>
        <v>0</v>
        <stp/>
        <stp>S_E_BS_TOTALASSETS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23" s="4"/>
        <tr r="C24" s="4"/>
        <tr r="C16" s="4"/>
        <tr r="C25" s="4"/>
        <tr r="C17" s="4"/>
        <tr r="C22" s="4"/>
        <tr r="C18" s="4"/>
        <tr r="C47" s="2"/>
      </tp>
      <tp>
        <v>0</v>
        <stp/>
        <stp>S_E_BS_TOTALASSETS</stp>
        <stp>603888.SH</stp>
        <stp>2016-03-31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2" s="7"/>
        <tr r="E3" s="7"/>
        <tr r="E23" s="7"/>
      </tp>
      <tp>
        <v>3329155860.04</v>
        <stp/>
        <stp>S_E_BS_TOTALASSETS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92" s="2"/>
        <tr r="C18" s="4"/>
      </tp>
      <tp>
        <v>421538700.45999998</v>
        <stp/>
        <stp>S_E_BS_TOTALNONCURRLIABILITY</stp>
        <stp>603888.SH</stp>
        <stp>2016-09-30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9" s="7"/>
      </tp>
      <tp>
        <v>519189724.38999999</v>
        <stp/>
        <stp>S_E_BS_TOTALNONCURRLIABILITY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29" s="2"/>
        <tr r="E23" s="4"/>
      </tp>
      <tp>
        <v>0</v>
        <stp/>
        <stp>S_S_BS_BORROWCAPITAL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7" s="2"/>
      </tp>
      <tp>
        <v>0</v>
        <stp/>
        <stp>S_S_BS_BORROWCAPITAL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97" s="2"/>
      </tp>
      <tp>
        <v>421515200.45999998</v>
        <stp/>
        <stp>S_E_BS_TOTALNONCURRLIABILITY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9" s="7"/>
      </tp>
      <tp>
        <v>528379405.31999999</v>
        <stp/>
        <stp>S_E_BS_TOTALNONCURRLIABILITY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29" s="2"/>
        <tr r="F23" s="4"/>
      </tp>
      <tp>
        <v>548252181.60000002</v>
        <stp/>
        <stp>S_E_BS_TOTALNONCURRLIABILITY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29" s="2"/>
        <tr r="B23" s="4"/>
      </tp>
      <tp>
        <v>0</v>
        <stp/>
        <stp>S_E_BS_SHORTTERMLOAN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94" s="2"/>
      </tp>
      <tp>
        <v>0</v>
        <stp/>
        <stp>S_E_BS_SHORTTERMLOAN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4" s="2"/>
      </tp>
      <tp>
        <v>0</v>
        <stp/>
        <stp>S_S_BS_BORROWCAPITAL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97" s="2"/>
      </tp>
      <tp>
        <v>0</v>
        <stp/>
        <stp>S_S_BS_BORROWCAPITAL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7" s="2"/>
      </tp>
      <tp>
        <v>421864200.45999998</v>
        <stp/>
        <stp>S_E_BS_TOTALNONCURRLIABILITY</stp>
        <stp>603888.SH</stp>
        <stp>2016-06-30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9" s="7"/>
      </tp>
      <tp>
        <v>491272543.45999998</v>
        <stp/>
        <stp>S_E_BS_TOTALNONCURRLIABILITY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29" s="2"/>
        <tr r="D23" s="4"/>
      </tp>
      <tp>
        <v>0</v>
        <stp/>
        <stp>S_E_BS_STBONDPAYABLE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16" s="2"/>
      </tp>
      <tp>
        <v>0</v>
        <stp/>
        <stp>S_E_BS_STBONDPAYABLE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16" s="2"/>
      </tp>
      <tp>
        <v>0</v>
        <stp/>
        <stp>S_E_BS_STBONDPAYABLE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6" s="2"/>
      </tp>
      <tp>
        <v>0</v>
        <stp/>
        <stp>S_E_BS_STBONDPAYABLE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16" s="2"/>
      </tp>
      <tp>
        <v>51004839.740000002</v>
        <stp/>
        <stp>S_E_CFS_ALLTAXPAID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57" s="2"/>
      </tp>
      <tp>
        <v>0</v>
        <stp/>
        <stp>S_E_BS_DEFERREDTAXLIABILITY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26" s="2"/>
      </tp>
      <tp>
        <v>62790</v>
        <stp/>
        <stp>S_E_BS_DEFERREDTAXLIABILITY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26" s="2"/>
      </tp>
      <tp>
        <v>26978938.82</v>
        <stp/>
        <stp>S_E_CFS_ALLTAXPAID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57" s="2"/>
      </tp>
      <tp>
        <v>78639117.75999999</v>
        <stp/>
        <stp>S_E_CFS_ALLTAXPAID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57" s="2"/>
      </tp>
      <tp>
        <v>74104002.180000007</v>
        <stp/>
        <stp>S_E_CFS_ALLTAXPAID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57" s="2"/>
      </tp>
      <tp>
        <v>0</v>
        <stp/>
        <stp>S_E_BS_SHORTTERMLOAN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4" s="2"/>
      </tp>
      <tp>
        <v>523733100.29000002</v>
        <stp/>
        <stp>S_E_BS_TOTALNONCURRLIABILITY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29" s="2"/>
        <tr r="G23" s="4"/>
      </tp>
      <tp>
        <v>0</v>
        <stp/>
        <stp>S_E_BS_TOTALNONCURRLIABILITY</stp>
        <stp>603888.SH</stp>
        <stp>2016-03-31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9" s="7"/>
      </tp>
      <tp>
        <v>511505152.52999997</v>
        <stp/>
        <stp>S_E_BS_TOTALNONCURRLIABILITY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29" s="2"/>
        <tr r="C23" s="4"/>
      </tp>
      <tp>
        <v>0</v>
        <stp/>
        <stp>S_E_BS_SHORTTERMLOAN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94" s="2"/>
      </tp>
      <tp>
        <v>0</v>
        <stp/>
        <stp>S_S_BS_BORROWCAPITAL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97" s="2"/>
      </tp>
      <tp>
        <v>0</v>
        <stp/>
        <stp>S_S_BS_BORROWCAPITAL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7" s="2"/>
      </tp>
      <tp>
        <v>0</v>
        <stp/>
        <stp>S_E_BS_SHORTTERMLOAN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4" s="2"/>
      </tp>
      <tp>
        <v>0</v>
        <stp/>
        <stp>S_E_BS_SHORTTERMLOAN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94" s="2"/>
      </tp>
      <tp>
        <v>0</v>
        <stp/>
        <stp>S_E_BS_STBONDPAYABLE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16" s="2"/>
      </tp>
      <tp>
        <v>0</v>
        <stp/>
        <stp>S_E_BS_STBONDPAYABLE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6" s="2"/>
      </tp>
      <tp>
        <v>0</v>
        <stp/>
        <stp>S_E_BS_DEFERREDTAXLIABILITY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26" s="2"/>
      </tp>
      <tp>
        <v>0</v>
        <stp/>
        <stp>S_E_BS_DEFERREDTAXLIABILITY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26" s="2"/>
      </tp>
      <tp>
        <v>0</v>
        <stp/>
        <stp>S_E_BS_DEFERREDTAXLIABILITY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26" s="2"/>
      </tp>
      <tp>
        <v>16313958.779999999</v>
        <stp/>
        <stp>S_E_CFS_ALLTAXPAID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57" s="2"/>
      </tp>
      <tp>
        <v>14687052.880000001</v>
        <stp/>
        <stp>S_E_CFS_ALLTAXPAID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57" s="2"/>
      </tp>
      <tp>
        <v>0</v>
        <stp/>
        <stp>S_E_BS_DEFERREDTAXLIABILITY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26" s="2"/>
      </tp>
      <tp>
        <v>23.68</v>
        <stp/>
        <stp>S_DQ_CLOSE</stp>
        <stp>603888.SH</stp>
        <stp>2018-01-23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I10" s="1"/>
      </tp>
      <tp>
        <v>1262436938.5899999</v>
        <stp/>
        <stp>S_E_BS_TOTALCURRENTASSETS</stp>
        <stp>603888.SH</stp>
        <stp>2016-09-30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0" s="7"/>
      </tp>
      <tp>
        <v>2628028764.4399996</v>
        <stp/>
        <stp>S_E_BS_TOTALCURRENTASSETS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69" s="2"/>
        <tr r="E24" s="4"/>
      </tp>
      <tp>
        <v>0</v>
        <stp/>
        <stp>S_E_BS_LONGTERMAR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4" s="2"/>
      </tp>
      <tp>
        <v>381285581.13999999</v>
        <stp/>
        <stp>S_E_BS_LONGTERMAP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23" s="2"/>
      </tp>
      <tp>
        <v>0</v>
        <stp/>
        <stp>S_E_BS_LONGTERMAR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74" s="2"/>
      </tp>
      <tp>
        <v>0</v>
        <stp/>
        <stp>S_E_BS_LONGTERMAP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23" s="2"/>
      </tp>
      <tp>
        <v>0</v>
        <stp/>
        <stp>S_E_BS_LONGTERMAR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4" s="2"/>
      </tp>
      <tp>
        <v>0</v>
        <stp/>
        <stp>S_E_BS_LONGTERMAP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23" s="2"/>
      </tp>
      <tp>
        <v>0</v>
        <stp/>
        <stp>S_E_BS_LONGTERMAR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4" s="2"/>
      </tp>
      <tp>
        <v>0</v>
        <stp/>
        <stp>S_E_BS_LONGTERMAP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23" s="2"/>
      </tp>
      <tp>
        <v>1295020542.5599999</v>
        <stp/>
        <stp>S_E_BS_TOTALCURRENTASSETS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0" s="7"/>
      </tp>
      <tp>
        <v>2826082715.5100002</v>
        <stp/>
        <stp>S_E_BS_TOTALCURRENTASSETS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9" s="2"/>
        <tr r="F24" s="4"/>
      </tp>
      <tp>
        <v>2456425175.1100001</v>
        <stp/>
        <stp>S_E_BS_TOTALCURRENTASSETS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69" s="2"/>
        <tr r="B24" s="4"/>
      </tp>
      <tp>
        <v>1271317232.76</v>
        <stp/>
        <stp>S_E_BS_TOTALCURRENTASSETS</stp>
        <stp>603888.SH</stp>
        <stp>2016-06-30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0" s="7"/>
      </tp>
      <tp>
        <v>2579820635.6999998</v>
        <stp/>
        <stp>S_E_BS_TOTALCURRENTASSETS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69" s="2"/>
        <tr r="D24" s="4"/>
      </tp>
      <tp>
        <v>0</v>
        <stp/>
        <stp>S_E_BS_LONGTERMAR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74" s="2"/>
      </tp>
      <tp>
        <v>0</v>
        <stp/>
        <stp>S_E_BS_LONGTERMAP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23" s="2"/>
      </tp>
      <tp>
        <v>0</v>
        <stp/>
        <stp>S_E_BS_LONGTERMAR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4" s="2"/>
      </tp>
      <tp>
        <v>0</v>
        <stp/>
        <stp>S_E_BS_LONGTERMAP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23" s="2"/>
      </tp>
      <tp>
        <v>2719642280.3399997</v>
        <stp/>
        <stp>S_E_BS_TOTALCURRENTASSETS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9" s="2"/>
        <tr r="G24" s="4"/>
      </tp>
      <tp>
        <v>0</v>
        <stp/>
        <stp>S_E_BS_TOTALCURRENTASSETS</stp>
        <stp>603888.SH</stp>
        <stp>2016-03-31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0" s="7"/>
      </tp>
      <tp>
        <v>2496019886.4400001</v>
        <stp/>
        <stp>S_E_BS_TOTALCURRENTASSETS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69" s="2"/>
        <tr r="C24" s="4"/>
      </tp>
      <tp>
        <v>0</v>
        <stp/>
        <stp>S_E_BS_OTHERCURRLIABILITY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17" s="2"/>
      </tp>
      <tp>
        <v>0</v>
        <stp/>
        <stp>S_E_BS_OTHERCURRLIABILITY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7" s="2"/>
      </tp>
      <tp>
        <v>0</v>
        <stp/>
        <stp>S_E_BS_OTHERCURRLIABILITY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17" s="2"/>
      </tp>
      <tp>
        <v>10205386.140000001</v>
        <stp/>
        <stp>S_E_BS_TAXPAYABLE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5" s="2"/>
      </tp>
      <tp>
        <v>13428301.199999999</v>
        <stp/>
        <stp>S_E_BS_TAXPAYABLE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5" s="2"/>
      </tp>
      <tp>
        <v>0</v>
        <stp/>
        <stp>S_E_BS_OTHERCURRLIABILITY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17" s="2"/>
      </tp>
      <tp>
        <v>11763784.32</v>
        <stp/>
        <stp>S_E_BS_TAXPAYABLE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5" s="2"/>
      </tp>
      <tp>
        <v>0</v>
        <stp/>
        <stp>S_E_BS_OTHERCURRLIABILITY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7" s="2"/>
      </tp>
      <tp>
        <v>0</v>
        <stp/>
        <stp>S_E_BS_OTHERCURRLIABILITY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17" s="2"/>
      </tp>
      <tp>
        <v>29007463</v>
        <stp/>
        <stp>S_E_BS_TAXPAYABLE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5" s="2"/>
      </tp>
      <tp>
        <v>25741283.050000001</v>
        <stp/>
        <stp>S_E_BS_TAXPAYABLE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5" s="2"/>
      </tp>
      <tp>
        <v>21351363.680000003</v>
        <stp/>
        <stp>S_E_BS_TAXPAYABLE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5" s="2"/>
      </tp>
      <tp>
        <v>38.249951900218782</v>
        <stp/>
        <stp>S_FA_DEBTTOASSETS</stp>
        <stp>603888.SH</stp>
        <stp>2016-09-30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" s="7"/>
      </tp>
      <tp>
        <v>24.269108040836556</v>
        <stp/>
        <stp>S_FA_DEBTTOASSETS</stp>
        <stp>603888.SH</stp>
        <stp>2017-09-30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1" s="4"/>
      </tp>
      <tp>
        <v>28.150554303771298</v>
        <stp/>
        <stp>S_FA_DEBTTOASSETS</stp>
        <stp>603888.SH</stp>
        <stp>2016-12-31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1" s="4"/>
      </tp>
      <tp>
        <v>26.381246448864541</v>
        <stp/>
        <stp>S_FA_DEBTTOASSETS</stp>
        <stp>603888.SH</stp>
        <stp>2017-12-31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" s="4"/>
      </tp>
      <tp>
        <v>39.573853090577643</v>
        <stp/>
        <stp>S_FA_DEBTTOASSETS</stp>
        <stp>603888.SH</stp>
        <stp>2015-12-31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" s="7"/>
      </tp>
      <tp>
        <v>37.109646562700497</v>
        <stp/>
        <stp>S_FA_DEBTTOASSETS</stp>
        <stp>603888.SH</stp>
        <stp>2016-06-30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" s="7"/>
      </tp>
      <tp>
        <v>25.526471339224354</v>
        <stp/>
        <stp>S_FA_DEBTTOASSETS</stp>
        <stp>603888.SH</stp>
        <stp>2017-06-30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1" s="4"/>
      </tp>
      <tp>
        <v>0</v>
        <stp/>
        <stp>S_FA_DEBTTOASSETS</stp>
        <stp>603888.SH</stp>
        <stp>2016-03-31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" s="7"/>
      </tp>
      <tp>
        <v>25.991113206084727</v>
        <stp/>
        <stp>S_FA_DEBTTOASSETS</stp>
        <stp>603888.SH</stp>
        <stp>2017-03-31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1" s="4"/>
      </tp>
      <tp>
        <v>23.70834119376072</v>
        <stp/>
        <stp>S_FA_DEBTTOASSETS</stp>
        <stp>603888.SH</stp>
        <stp>2018-03-31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" s="4"/>
      </tp>
      <tp>
        <v>0</v>
        <stp/>
        <stp>S_E_BS_DIVPAYABLE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13" s="2"/>
      </tp>
      <tp>
        <v>0</v>
        <stp/>
        <stp>S_E_BS_DIVPAYABLE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3" s="2"/>
      </tp>
      <tp>
        <v>0</v>
        <stp/>
        <stp>S_E_BS_DIVPAYABLE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13" s="2"/>
      </tp>
      <tp>
        <v>0</v>
        <stp/>
        <stp>S_E_BS_DIVPAYABLE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3" s="2"/>
      </tp>
      <tp>
        <v>0</v>
        <stp/>
        <stp>S_E_BS_DIVPAYABLE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13" s="2"/>
      </tp>
      <tp>
        <v>0</v>
        <stp/>
        <stp>S_E_BS_DIVPAYABLE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13" s="2"/>
      </tp>
      <tp>
        <v>438356081.13999999</v>
        <stp/>
        <stp>S_E_BS_SPECIFICAP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24" s="2"/>
      </tp>
      <tp>
        <v>0</v>
        <stp/>
        <stp>S_E_BS_SPECIFICAP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24" s="2"/>
      </tp>
      <tp>
        <v>398159081.13999999</v>
        <stp/>
        <stp>S_E_BS_SPECIFICAP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24" s="2"/>
      </tp>
      <tp>
        <v>407819081.13999999</v>
        <stp/>
        <stp>S_E_BS_SPECIFICAP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24" s="2"/>
      </tp>
      <tp>
        <v>398969081.13999999</v>
        <stp/>
        <stp>S_E_BS_SPECIFICAP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24" s="2"/>
      </tp>
      <tp>
        <v>383485581.13999999</v>
        <stp/>
        <stp>S_E_BS_SPECIFICAP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24" s="2"/>
      </tp>
      <tp>
        <v>231724895.31</v>
        <stp/>
        <stp>S_E_CFS_GOODSERVICECASHIN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50" s="2"/>
      </tp>
      <tp>
        <v>254363900.84999999</v>
        <stp/>
        <stp>S_E_CFS_GOODSERVICECASHIN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50" s="2"/>
      </tp>
      <tp>
        <v>0</v>
        <stp/>
        <stp>S_I_IS_DIVIPAYOUT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8" s="2"/>
      </tp>
      <tp>
        <v>0</v>
        <stp/>
        <stp>S_I_IS_DIVIPAYOUT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8" s="2"/>
      </tp>
      <tp>
        <v>9.3617654518584885</v>
        <stp/>
        <stp>S_FA_DUPONT_NETPROFITMARGIN</stp>
        <stp>603888.SH</stp>
        <stp>2018/3/31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" s="4"/>
      </tp>
      <tp>
        <v>453381195.06</v>
        <stp/>
        <stp>S_E_CFS_GOODSERVICECASHIN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50" s="2"/>
      </tp>
      <tp>
        <v>1535955053.1700001</v>
        <stp/>
        <stp>S_E_CFS_GOODSERVICECASHIN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50" s="2"/>
      </tp>
      <tp>
        <v>1360062180.71</v>
        <stp/>
        <stp>S_E_CFS_GOODSERVICECASHIN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50" s="2"/>
      </tp>
      <tp>
        <v>832835633.07000005</v>
        <stp/>
        <stp>S_E_CFS_GOODSERVICECASHIN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50" s="2"/>
      </tp>
      <tp>
        <v>0</v>
        <stp/>
        <stp>S_I_IS_DIVIPAYOUT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8" s="2"/>
      </tp>
      <tp>
        <v>0</v>
        <stp/>
        <stp>S_I_IS_DIVIPAYOUT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8" s="2"/>
      </tp>
      <tp>
        <v>0</v>
        <stp/>
        <stp>S_I_IS_DIVIPAYOUT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8" s="2"/>
      </tp>
      <tp>
        <v>0</v>
        <stp/>
        <stp>S_I_IS_DIVIPAYOUT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8" s="2"/>
      </tp>
      <tp>
        <v>0.87290609256798635</v>
        <stp/>
        <stp>S_FA_DUPONT_ROE</stp>
        <stp>603888.SH</stp>
        <stp>2017-03-31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6" s="4"/>
      </tp>
      <tp>
        <v>0</v>
        <stp/>
        <stp>S_FA_DUPONT_ROE</stp>
        <stp>603888.SH</stp>
        <stp>2016-03-31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" s="7"/>
      </tp>
      <tp>
        <v>0.86812435470093463</v>
        <stp/>
        <stp>S_FA_DUPONT_ROE</stp>
        <stp>603888.SH</stp>
        <stp>2018-03-31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" s="4"/>
      </tp>
      <tp>
        <v>6.8338385367971268</v>
        <stp/>
        <stp>S_FA_DUPONT_ROE</stp>
        <stp>603888.SH</stp>
        <stp>2017-09-30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6" s="4"/>
      </tp>
      <tp>
        <v>14.3917081223304</v>
        <stp/>
        <stp>S_FA_DUPONT_ROE</stp>
        <stp>603888.SH</stp>
        <stp>2016-09-30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" s="7"/>
      </tp>
      <tp>
        <v>11.163648658651033</v>
        <stp/>
        <stp>S_FA_DUPONT_ROE</stp>
        <stp>603888.SH</stp>
        <stp>2017-12-31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" s="4"/>
      </tp>
      <tp>
        <v>16.366630504708578</v>
        <stp/>
        <stp>S_FA_DUPONT_ROE</stp>
        <stp>603888.SH</stp>
        <stp>2016-12-31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6" s="4"/>
      </tp>
      <tp>
        <v>27.780110550704475</v>
        <stp/>
        <stp>S_FA_DUPONT_ROE</stp>
        <stp>603888.SH</stp>
        <stp>2015-12-31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" s="7"/>
      </tp>
      <tp>
        <v>4.4109379923278436</v>
        <stp/>
        <stp>S_FA_DUPONT_ROE</stp>
        <stp>603888.SH</stp>
        <stp>2017-06-30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6" s="4"/>
      </tp>
      <tp>
        <v>9.2654276987996624</v>
        <stp/>
        <stp>S_FA_DUPONT_ROE</stp>
        <stp>603888.SH</stp>
        <stp>2016-06-30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" s="7"/>
      </tp>
      <tp>
        <v>0</v>
        <stp/>
        <stp>S_I_IS_REFPREMIUM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5" s="2"/>
      </tp>
      <tp>
        <v>0</v>
        <stp/>
        <stp>S_I_IS_REFPREMIUM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5" s="2"/>
      </tp>
      <tp>
        <v>0</v>
        <stp/>
        <stp>S_E_IS_EXGAINLOSS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29" s="2"/>
      </tp>
      <tp>
        <v>0</v>
        <stp/>
        <stp>S_E_IS_EXGAINLOSS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9" s="2"/>
      </tp>
      <tp>
        <v>0</v>
        <stp/>
        <stp>S_I_IS_REFPREMIUM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5" s="2"/>
      </tp>
      <tp>
        <v>0</v>
        <stp/>
        <stp>S_I_IS_REFPREMIUM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5" s="2"/>
      </tp>
      <tp>
        <v>0</v>
        <stp/>
        <stp>S_I_IS_REFPREMIUM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5" s="2"/>
      </tp>
      <tp>
        <v>0</v>
        <stp/>
        <stp>S_I_IS_REFPREMIUM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5" s="2"/>
      </tp>
      <tp>
        <v>0</v>
        <stp/>
        <stp>S_E_IS_EXGAINLOSS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9" s="2"/>
      </tp>
      <tp>
        <v>0</v>
        <stp/>
        <stp>S_E_IS_EXGAINLOSS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9" s="2"/>
      </tp>
      <tp>
        <v>0</v>
        <stp/>
        <stp>S_E_IS_EXGAINLOSS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29" s="2"/>
      </tp>
      <tp>
        <v>0</v>
        <stp/>
        <stp>S_E_IS_EXGAINLOSS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9" s="2"/>
      </tp>
      <tp>
        <v>375894255.05000001</v>
        <stp/>
        <stp>S_E_BS_TOTALCURRLIABILITY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19" s="2"/>
        <tr r="B22" s="4"/>
      </tp>
      <tp>
        <v>463567764.25999999</v>
        <stp/>
        <stp>S_E_BS_TOTALCURRLIABILITY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9" s="2"/>
        <tr r="F22" s="4"/>
      </tp>
      <tp>
        <v>276104561.64999998</v>
        <stp/>
        <stp>S_E_BS_TOTALCURRLIABILITY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8" s="7"/>
      </tp>
      <tp>
        <v>414859909.33999997</v>
        <stp/>
        <stp>S_E_BS_TOTALCURRLIABILITY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19" s="2"/>
        <tr r="D22" s="4"/>
      </tp>
      <tp>
        <v>251210545.62</v>
        <stp/>
        <stp>S_E_BS_TOTALCURRLIABILITY</stp>
        <stp>603888.SH</stp>
        <stp>2016-06-30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8" s="7"/>
      </tp>
      <tp>
        <v>347899218.32999998</v>
        <stp/>
        <stp>S_E_BS_TOTALCURRLIABILITY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19" s="2"/>
        <tr r="E22" s="4"/>
      </tp>
      <tp>
        <v>302760991.36000001</v>
        <stp/>
        <stp>S_E_BS_TOTALCURRLIABILITY</stp>
        <stp>603888.SH</stp>
        <stp>2016-09-30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8" s="7"/>
      </tp>
      <tp>
        <v>6827236.2999999998</v>
        <stp/>
        <stp>S_E_BS_INTERESTRECEIVABLE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59" s="2"/>
      </tp>
      <tp>
        <v>4682016.71</v>
        <stp/>
        <stp>S_E_BS_INTERESTRECEIVABLE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59" s="2"/>
      </tp>
      <tp>
        <v>338595651.94999999</v>
        <stp/>
        <stp>S_E_BS_TOTALCURRLIABILITY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9" s="2"/>
        <tr r="G22" s="4"/>
      </tp>
      <tp>
        <v>353779515.86000001</v>
        <stp/>
        <stp>S_E_BS_TOTALCURRLIABILITY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19" s="2"/>
        <tr r="C22" s="4"/>
      </tp>
      <tp>
        <v>0</v>
        <stp/>
        <stp>S_E_BS_TOTALCURRLIABILITY</stp>
        <stp>603888.SH</stp>
        <stp>2016-03-31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8" s="7"/>
      </tp>
      <tp>
        <v>6827218.0300000003</v>
        <stp/>
        <stp>S_E_BS_INTERESTRECEIVABLE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59" s="2"/>
      </tp>
      <tp>
        <v>7246108.7300000004</v>
        <stp/>
        <stp>S_E_BS_INTERESTRECEIVABLE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59" s="2"/>
      </tp>
      <tp>
        <v>3967516.2</v>
        <stp/>
        <stp>S_E_BS_INTERESTRECEIVABLE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59" s="2"/>
      </tp>
      <tp>
        <v>3243172.79</v>
        <stp/>
        <stp>S_E_BS_INTERESTRECEIVABLE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59" s="2"/>
      </tp>
      <tp>
        <v>19.017289931950401</v>
        <stp/>
        <stp>S_FA_DUPONT_NETPROFITMARGIN</stp>
        <stp>603888.SH</stp>
        <stp>2017/6/30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" s="4"/>
      </tp>
      <tp>
        <v>19.103997491224149</v>
        <stp/>
        <stp>S_FA_DUPONT_NETPROFITMARGIN</stp>
        <stp>603888.SH</stp>
        <stp>2017/9/30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" s="4"/>
      </tp>
      <tp>
        <v>10.29306518725843</v>
        <stp/>
        <stp>S_FA_DUPONT_NETPROFITMARGIN</stp>
        <stp>603888.SH</stp>
        <stp>2017/3/31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7" s="4"/>
      </tp>
      <tp>
        <v>711200000</v>
        <stp/>
        <stp>S_E_BS_OTHERCURRENTASSETS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67" s="2"/>
      </tp>
      <tp>
        <v>380350000</v>
        <stp/>
        <stp>S_E_BS_OTHERCURRENTASSETS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67" s="2"/>
      </tp>
      <tp>
        <v>725000000</v>
        <stp/>
        <stp>S_E_BS_OTHERCURRENTASSETS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67" s="2"/>
      </tp>
      <tp>
        <v>0</v>
        <stp/>
        <stp>S_E_BS_OTHERCURRENTASSETS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7" s="2"/>
      </tp>
      <tp>
        <v>401094460.60000002</v>
        <stp/>
        <stp>S_E_BS_OTHERCURRENTASSETS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7" s="2"/>
      </tp>
      <tp>
        <v>0</v>
        <stp/>
        <stp>S_E_BS_OTHERCURRENTASSETS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67" s="2"/>
      </tp>
      <tp>
        <v>587758067.3499999</v>
        <stp/>
        <stp>S_E_BS_ACCOUNTRECEIVABLE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54" s="2"/>
      </tp>
      <tp>
        <v>432241378.18000001</v>
        <stp/>
        <stp>S_E_BS_ACCOUNTRECEIVABLE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54" s="2"/>
      </tp>
      <tp>
        <v>514509199.11000001</v>
        <stp/>
        <stp>S_E_BS_ACCOUNTRECEIVABLE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54" s="2"/>
      </tp>
      <tp>
        <v>0</v>
        <stp/>
        <stp>S_E_CFS_INVESTWITHDRAWAL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64" s="2"/>
      </tp>
      <tp>
        <v>0</v>
        <stp/>
        <stp>S_E_CFS_INVESTWITHDRAWAL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64" s="2"/>
      </tp>
      <tp>
        <v>590580090.21999991</v>
        <stp/>
        <stp>S_E_BS_ACCOUNTRECEIVABLE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54" s="2"/>
      </tp>
      <tp>
        <v>0</v>
        <stp/>
        <stp>S_S_BS_SOLDBUYBACKSECUP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2" s="2"/>
      </tp>
      <tp>
        <v>0</v>
        <stp/>
        <stp>S_S_BS_SOLDBUYBACKSECUP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2" s="2"/>
      </tp>
      <tp>
        <v>0</v>
        <stp/>
        <stp>S_S_BS_SUBISSUEPROCEEDS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1" s="2"/>
      </tp>
      <tp>
        <v>0</v>
        <stp/>
        <stp>S_S_BS_SUBISSUEPROCEEDS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11" s="2"/>
      </tp>
      <tp>
        <v>0</v>
        <stp/>
        <stp>S_S_BS_BOUGHTSELLASSETS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62" s="2"/>
      </tp>
      <tp>
        <v>0</v>
        <stp/>
        <stp>S_S_BS_BOUGHTSELLASSETS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2" s="2"/>
      </tp>
      <tp>
        <v>6793150.6900000004</v>
        <stp/>
        <stp>S_E_CFS_INVESTPROCEEDS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65" s="2"/>
      </tp>
      <tp>
        <v>4327440.91</v>
        <stp/>
        <stp>S_E_CFS_INVESTPROCEEDS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65" s="2"/>
      </tp>
      <tp>
        <v>9474374.9199999999</v>
        <stp/>
        <stp>S_E_BS_INTANGIBALASSETS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83" s="2"/>
      </tp>
      <tp>
        <v>3332902.17</v>
        <stp/>
        <stp>S_E_BS_INTANGIBALASSETS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83" s="2"/>
      </tp>
      <tp>
        <v>40900000</v>
        <stp/>
        <stp>S_E_CFS_INVESTWITHDRAWAL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64" s="2"/>
      </tp>
      <tp>
        <v>0</v>
        <stp/>
        <stp>S_E_CFS_INVESTWITHDRAWAL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64" s="2"/>
      </tp>
      <tp>
        <v>5752228.7300000004</v>
        <stp/>
        <stp>S_E_CFS_INVESTWITHDRAWAL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64" s="2"/>
      </tp>
      <tp>
        <v>503277500.43000001</v>
        <stp/>
        <stp>S_E_BS_ACCOUNTRECEIVABLE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54" s="2"/>
      </tp>
      <tp>
        <v>492916914.57999998</v>
        <stp/>
        <stp>S_E_BS_ACCOUNTRECEIVABLE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54" s="2"/>
      </tp>
      <tp>
        <v>0</v>
        <stp/>
        <stp>S_E_CFS_INVESTWITHDRAWAL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64" s="2"/>
      </tp>
      <tp>
        <v>0</v>
        <stp/>
        <stp>S_S_BS_BOUGHTSELLASSETS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62" s="2"/>
      </tp>
      <tp>
        <v>0</v>
        <stp/>
        <stp>S_S_BS_SOLDBUYBACKSECUP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2" s="2"/>
      </tp>
      <tp>
        <v>0</v>
        <stp/>
        <stp>S_S_BS_SOLDBUYBACKSECUP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2" s="2"/>
      </tp>
      <tp>
        <v>0</v>
        <stp/>
        <stp>S_S_BS_SUBISSUEPROCEEDS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11" s="2"/>
      </tp>
      <tp>
        <v>24846820.579999998</v>
        <stp/>
        <stp>S_E_CFS_INVESTPROCEEDS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65" s="2"/>
      </tp>
      <tp>
        <v>0</v>
        <stp/>
        <stp>S_S_BS_SOLDBUYBACKSECUP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2" s="2"/>
      </tp>
      <tp>
        <v>0</v>
        <stp/>
        <stp>S_S_BS_SOLDBUYBACKSECUP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2" s="2"/>
      </tp>
      <tp>
        <v>0</v>
        <stp/>
        <stp>S_S_BS_SUBISSUEPROCEEDS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11" s="2"/>
      </tp>
      <tp>
        <v>0</v>
        <stp/>
        <stp>S_S_BS_SUBISSUEPROCEEDS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1" s="2"/>
      </tp>
      <tp>
        <v>13601349.35</v>
        <stp/>
        <stp>S_E_CFS_INVESTPROCEEDS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65" s="2"/>
      </tp>
      <tp>
        <v>0</v>
        <stp/>
        <stp>S_S_BS_BOUGHTSELLASSETS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2" s="2"/>
      </tp>
      <tp>
        <v>0</v>
        <stp/>
        <stp>S_S_BS_BOUGHTSELLASSETS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62" s="2"/>
      </tp>
      <tp>
        <v>0</v>
        <stp/>
        <stp>S_S_BS_SUBISSUEPROCEEDS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11" s="2"/>
      </tp>
      <tp>
        <v>74082934.61999999</v>
        <stp/>
        <stp>S_E_CFS_INVESTPROCEEDS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65" s="2"/>
      </tp>
      <tp>
        <v>15499236.74</v>
        <stp/>
        <stp>S_E_CFS_INVESTPROCEEDS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65" s="2"/>
      </tp>
      <tp>
        <v>0</v>
        <stp/>
        <stp>S_S_BS_BOUGHTSELLASSETS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62" s="2"/>
      </tp>
      <tp>
        <v>4832935.37</v>
        <stp/>
        <stp>S_E_BS_INTANGIBALASSETS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83" s="2"/>
      </tp>
      <tp>
        <v>3485883.75</v>
        <stp/>
        <stp>S_E_BS_INTANGIBALASSETS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83" s="2"/>
      </tp>
      <tp>
        <v>7460793.6600000001</v>
        <stp/>
        <stp>S_E_BS_INTANGIBALASSETS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83" s="2"/>
      </tp>
      <tp>
        <v>4740533.1500000004</v>
        <stp/>
        <stp>S_E_BS_INTANGIBALASSETS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83" s="2"/>
      </tp>
      <tp>
        <v>527497941.00999999</v>
        <stp/>
        <stp>S_E_CFS_CASHEQUIINCREASE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98" s="2"/>
      </tp>
      <tp>
        <v>487455965.23000002</v>
        <stp/>
        <stp>S_E_CFS_CASHEQUIINCREASE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98" s="2"/>
      </tp>
      <tp>
        <v>299136909.86000001</v>
        <stp/>
        <stp>S_E_CFS_CASHEQUIINCREASE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98" s="2"/>
      </tp>
      <tp>
        <v>13201666.539999999</v>
        <stp/>
        <stp>S_E_CFS_CASHEQUIINCREASE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98" s="2"/>
      </tp>
      <tp>
        <v>0</v>
        <stp/>
        <stp>S_E_IS_EPREMIUM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" s="2"/>
      </tp>
      <tp>
        <v>0</v>
        <stp/>
        <stp>S_E_CFS_PROCEEDSUBMINO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89" s="2"/>
      </tp>
      <tp>
        <v>0</v>
        <stp/>
        <stp>S_E_CFS_OTHERCASHININV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68" s="2"/>
      </tp>
      <tp>
        <v>1119000000</v>
        <stp/>
        <stp>S_E_CFS_OTHERCASHININV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68" s="2"/>
      </tp>
      <tp>
        <v>0</v>
        <stp/>
        <stp>S_E_CFS_PROCEEDSUBMINO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89" s="2"/>
      </tp>
      <tp>
        <v>0</v>
        <stp/>
        <stp>S_E_CFS_PROCEEDSUBMINO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89" s="2"/>
      </tp>
      <tp>
        <v>0</v>
        <stp/>
        <stp>S_E_IS_EPREMIUM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" s="2"/>
      </tp>
      <tp>
        <v>0</v>
        <stp/>
        <stp>S_E_IS_EPREMIUM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9" s="2"/>
      </tp>
      <tp>
        <v>2200000</v>
        <stp/>
        <stp>S_E_CFS_OTHERCASHINFIN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83" s="2"/>
      </tp>
      <tp>
        <v>810000</v>
        <stp/>
        <stp>S_E_CFS_OTHERCASHINFIN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83" s="2"/>
      </tp>
      <tp>
        <v>0</v>
        <stp/>
        <stp>S_E_CFS_PROCEEDSUBMINO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89" s="2"/>
      </tp>
      <tp>
        <v>0</v>
        <stp/>
        <stp>S_E_IS_EPREMIUM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9" s="2"/>
      </tp>
      <tp>
        <v>-503546461.57999998</v>
        <stp/>
        <stp>S_E_CFS_CASHEQUIINCREASE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98" s="2"/>
      </tp>
      <tp>
        <v>676603015.83000004</v>
        <stp/>
        <stp>S_E_CFS_CASHEQUIINCREASE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98" s="2"/>
      </tp>
      <tp>
        <v>1119000000</v>
        <stp/>
        <stp>S_E_CFS_OTHERCASHININV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68" s="2"/>
      </tp>
      <tp>
        <v>594000000</v>
        <stp/>
        <stp>S_E_CFS_OTHERCASHININV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68" s="2"/>
      </tp>
      <tp>
        <v>0</v>
        <stp/>
        <stp>S_E_CFS_PROCEEDSUBMINO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89" s="2"/>
      </tp>
      <tp>
        <v>0</v>
        <stp/>
        <stp>S_E_CFS_PROCEEDSUBMINO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89" s="2"/>
      </tp>
      <tp>
        <v>40197000</v>
        <stp/>
        <stp>S_E_CFS_OTHERCASHINFIN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83" s="2"/>
      </tp>
      <tp>
        <v>1127974644.05</v>
        <stp/>
        <stp>S_E_CFS_OTHERCASHININV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68" s="2"/>
      </tp>
      <tp>
        <v>9660000</v>
        <stp/>
        <stp>S_E_CFS_OTHERCASHINFIN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83" s="2"/>
      </tp>
      <tp>
        <v>1132824644.05</v>
        <stp/>
        <stp>S_E_CFS_OTHERCASHININV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68" s="2"/>
      </tp>
      <tp>
        <v>0</v>
        <stp/>
        <stp>S_E_IS_EPREMIUM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9" s="2"/>
      </tp>
      <tp>
        <v>0</v>
        <stp/>
        <stp>S_E_IS_EPREMIUM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" s="2"/>
      </tp>
      <tp>
        <v>89838981.140000001</v>
        <stp/>
        <stp>S_E_CFS_OTHERCASHINFIN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83" s="2"/>
      </tp>
      <tp>
        <v>52006500</v>
        <stp/>
        <stp>S_E_CFS_OTHERCASHINFIN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83" s="2"/>
      </tp>
      <tp>
        <v>519029360</v>
        <stp/>
        <stp>S_SHARE_TOTALSHARE</stp>
        <stp>603888.SH</stp>
        <stp>2018-01-23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I11" s="1"/>
      </tp>
      <tp>
        <v>0</v>
        <stp/>
        <stp>S_B_BS_DEPOSIT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6" s="2"/>
      </tp>
      <tp>
        <v>0</v>
        <stp/>
        <stp>S_B_BS_DEPOSIT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96" s="2"/>
      </tp>
      <tp>
        <v>0</v>
        <stp/>
        <stp>S_B_BS_DEPOSIT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6" s="2"/>
      </tp>
      <tp>
        <v>0</v>
        <stp/>
        <stp>S_B_BS_DEPOSIT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96" s="2"/>
      </tp>
      <tp>
        <v>0</v>
        <stp/>
        <stp>S_I_BS_UNEARNEDPRESERVE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9" s="2"/>
      </tp>
      <tp>
        <v>0</v>
        <stp/>
        <stp>S_I_BS_LIFEINSURRESERVE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9" s="2"/>
      </tp>
      <tp>
        <v>0</v>
        <stp/>
        <stp>S_E_CFS_INVESTCASHPAID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72" s="2"/>
      </tp>
      <tp>
        <v>0</v>
        <stp/>
        <stp>S_E_CFS_INVESTCASHPAID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72" s="2"/>
      </tp>
      <tp>
        <v>0</v>
        <stp/>
        <stp>S_I_BS_UNEARNEDPRESERVE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9" s="2"/>
      </tp>
      <tp>
        <v>0</v>
        <stp/>
        <stp>S_I_BS_UNEARNEDPRESERVE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9" s="2"/>
      </tp>
      <tp>
        <v>0</v>
        <stp/>
        <stp>S_I_BS_LIFEINSURRESERVE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9" s="2"/>
      </tp>
      <tp>
        <v>0</v>
        <stp/>
        <stp>S_I_BS_UNEARNEDPRESERVE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9" s="2"/>
      </tp>
      <tp>
        <v>0</v>
        <stp/>
        <stp>S_I_BS_LIFEINSURRESERVE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9" s="2"/>
      </tp>
      <tp>
        <v>0</v>
        <stp/>
        <stp>S_I_BS_LIFEINSURRESERVE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9" s="2"/>
      </tp>
      <tp>
        <v>0</v>
        <stp/>
        <stp>S_B_BS_DEPOSIT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6" s="2"/>
      </tp>
      <tp>
        <v>0</v>
        <stp/>
        <stp>S_B_BS_DEPOSIT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96" s="2"/>
      </tp>
      <tp>
        <v>105320000</v>
        <stp/>
        <stp>S_E_CFS_INVESTCASHPAID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72" s="2"/>
      </tp>
      <tp>
        <v>0</v>
        <stp/>
        <stp>S_I_BS_UNEARNEDPRESERVE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9" s="2"/>
      </tp>
      <tp>
        <v>0</v>
        <stp/>
        <stp>S_I_BS_UNEARNEDPRESERVE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9" s="2"/>
      </tp>
      <tp>
        <v>155400000</v>
        <stp/>
        <stp>S_E_CFS_INVESTCASHPAID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72" s="2"/>
      </tp>
      <tp>
        <v>138320000</v>
        <stp/>
        <stp>S_E_CFS_INVESTCASHPAID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72" s="2"/>
      </tp>
      <tp>
        <v>101000000</v>
        <stp/>
        <stp>S_E_CFS_INVESTCASHPAID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72" s="2"/>
      </tp>
      <tp>
        <v>0</v>
        <stp/>
        <stp>S_I_BS_LIFEINSURRESERVE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9" s="2"/>
      </tp>
      <tp>
        <v>0</v>
        <stp/>
        <stp>S_I_BS_LIFEINSURRESERVE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9" s="2"/>
      </tp>
      <tp>
        <v>969954970.79999995</v>
        <stp/>
        <stp>S_E_BS_TOTALNONCURASSETS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90" s="2"/>
        <tr r="D25" s="4"/>
      </tp>
      <tp>
        <v>542428810.17999995</v>
        <stp/>
        <stp>S_E_BS_TOTALNONCURASSETS</stp>
        <stp>603888.SH</stp>
        <stp>2016-06-30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1" s="7"/>
      </tp>
      <tp>
        <v>467809476.82999998</v>
        <stp/>
        <stp>S_E_BS_TOTALNONCURASSETS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1" s="7"/>
      </tp>
      <tp>
        <v>826446013.41999996</v>
        <stp/>
        <stp>S_E_BS_TOTALNONCURASSETS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90" s="2"/>
        <tr r="B25" s="4"/>
      </tp>
      <tp>
        <v>933963920.27999997</v>
        <stp/>
        <stp>S_E_BS_TOTALNONCURASSETS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0" s="2"/>
        <tr r="F25" s="4"/>
      </tp>
      <tp>
        <v>0</v>
        <stp/>
        <stp>S_E_BS_NONCAIN1Y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65" s="2"/>
      </tp>
      <tp>
        <v>0</v>
        <stp/>
        <stp>S_E_BS_NONCLIN1Y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12" s="2"/>
      </tp>
      <tp>
        <v>0</v>
        <stp/>
        <stp>S_E_BS_NONCAIN1Y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5" s="2"/>
      </tp>
      <tp>
        <v>0</v>
        <stp/>
        <stp>S_E_BS_NONCLIN1Y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2" s="2"/>
      </tp>
      <tp>
        <v>944780509.23000002</v>
        <stp/>
        <stp>S_E_BS_TOTALNONCURASSETS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0" s="2"/>
        <tr r="E25" s="4"/>
      </tp>
      <tp>
        <v>631159408.16999996</v>
        <stp/>
        <stp>S_E_BS_TOTALNONCURASSETS</stp>
        <stp>603888.SH</stp>
        <stp>2016-09-30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1" s="7"/>
      </tp>
      <tp>
        <v>0</v>
        <stp/>
        <stp>S_I_BS_OUTCLAIMRESERVE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9" s="2"/>
      </tp>
      <tp>
        <v>0</v>
        <stp/>
        <stp>S_I_BS_OUTCLAIMRESERVE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9" s="2"/>
      </tp>
      <tp>
        <v>394000000</v>
        <stp/>
        <stp>S_E_CFS_OTHERCASHOUTINV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74" s="2"/>
      </tp>
      <tp>
        <v>400000000</v>
        <stp/>
        <stp>S_E_CFS_OTHERCASHOUTINV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74" s="2"/>
      </tp>
      <tp>
        <v>0</v>
        <stp/>
        <stp>S_E_BS_DEFFEREDEXPENSE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6" s="2"/>
      </tp>
      <tp>
        <v>0</v>
        <stp/>
        <stp>S_E_BS_DEFFEREDEXPENSE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66" s="2"/>
      </tp>
      <tp>
        <v>0</v>
        <stp/>
        <stp>S_E_CFS_OTHERCASHOUTFIN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90" s="2"/>
      </tp>
      <tp>
        <v>0</v>
        <stp/>
        <stp>S_E_CFS_OTHERCASHOUTFIN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90" s="2"/>
      </tp>
      <tp>
        <v>0</v>
        <stp/>
        <stp>S_E_IS_FAIRVALUECHANGE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6" s="2"/>
      </tp>
      <tp>
        <v>60000000</v>
        <stp/>
        <stp>S_E_CFS_CASHFROMINVEST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80" s="2"/>
      </tp>
      <tp>
        <v>60000000</v>
        <stp/>
        <stp>S_E_CFS_CASHFROMINVEST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80" s="2"/>
      </tp>
      <tp>
        <v>17406075.27</v>
        <stp/>
        <stp>S_E_BS_OTHERRECEIVABLE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60" s="2"/>
      </tp>
      <tp>
        <v>47894980.68</v>
        <stp/>
        <stp>S_E_BS_OTHERRECEIVABLE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0" s="2"/>
      </tp>
      <tp>
        <v>0</v>
        <stp/>
        <stp>S_E_IS_FAIRVALUECHANGE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26" s="2"/>
      </tp>
      <tp>
        <v>0</v>
        <stp/>
        <stp>S_E_IS_FAIRVALUECHANGE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6" s="2"/>
      </tp>
      <tp>
        <v>63000000</v>
        <stp/>
        <stp>S_E_CFS_CASHFROMINVEST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80" s="2"/>
      </tp>
      <tp>
        <v>1444885686.0999999</v>
        <stp/>
        <stp>S_E_CFS_CASHFROMINVEST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80" s="2"/>
      </tp>
      <tp>
        <v>0</v>
        <stp/>
        <stp>S_E_IS_FAIRVALUECHANGE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6" s="2"/>
      </tp>
      <tp>
        <v>0</v>
        <stp/>
        <stp>S_E_BS_NONCAIN1Y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65" s="2"/>
      </tp>
      <tp>
        <v>0</v>
        <stp/>
        <stp>S_E_BS_NONCLIN1Y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12" s="2"/>
      </tp>
      <tp>
        <v>917595539.00999999</v>
        <stp/>
        <stp>S_E_BS_TOTALNONCURASSETS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0" s="2"/>
        <tr r="G25" s="4"/>
      </tp>
      <tp>
        <v>833135973.60000002</v>
        <stp/>
        <stp>S_E_BS_TOTALNONCURASSETS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90" s="2"/>
        <tr r="C25" s="4"/>
      </tp>
      <tp>
        <v>0</v>
        <stp/>
        <stp>S_E_BS_TOTALNONCURASSETS</stp>
        <stp>603888.SH</stp>
        <stp>2016-03-31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1" s="7"/>
      </tp>
      <tp>
        <v>0</v>
        <stp/>
        <stp>S_E_BS_NONCAIN1Y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65" s="2"/>
      </tp>
      <tp>
        <v>0</v>
        <stp/>
        <stp>S_E_BS_NONCLIN1Y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12" s="2"/>
      </tp>
      <tp>
        <v>0</v>
        <stp/>
        <stp>S_E_BS_NONCAIN1Y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5" s="2"/>
      </tp>
      <tp>
        <v>0</v>
        <stp/>
        <stp>S_E_BS_NONCLIN1Y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2" s="2"/>
      </tp>
      <tp>
        <v>0</v>
        <stp/>
        <stp>S_E_BS_NONCAIN1Y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65" s="2"/>
      </tp>
      <tp>
        <v>0</v>
        <stp/>
        <stp>S_E_BS_NONCLIN1Y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12" s="2"/>
      </tp>
      <tp>
        <v>0</v>
        <stp/>
        <stp>S_I_BS_OUTCLAIMRESERVE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9" s="2"/>
      </tp>
      <tp>
        <v>0</v>
        <stp/>
        <stp>S_I_BS_OUTCLAIMRESERVE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9" s="2"/>
      </tp>
      <tp>
        <v>0</v>
        <stp/>
        <stp>S_E_CFS_OTHERCASHOUTFIN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90" s="2"/>
      </tp>
      <tp>
        <v>770400000</v>
        <stp/>
        <stp>S_E_CFS_OTHERCASHOUTINV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74" s="2"/>
      </tp>
      <tp>
        <v>0</v>
        <stp/>
        <stp>S_E_BS_DEFFEREDEXPENSE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66" s="2"/>
      </tp>
      <tp>
        <v>0</v>
        <stp/>
        <stp>S_I_BS_OUTCLAIMRESERVE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9" s="2"/>
      </tp>
      <tp>
        <v>859219996.21000004</v>
        <stp/>
        <stp>S_E_CFS_OTHERCASHOUTINV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74" s="2"/>
      </tp>
      <tp>
        <v>1119000000</v>
        <stp/>
        <stp>S_E_CFS_OTHERCASHOUTINV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74" s="2"/>
      </tp>
      <tp>
        <v>0</v>
        <stp/>
        <stp>S_E_BS_DEFFEREDEXPENSE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6" s="2"/>
      </tp>
      <tp>
        <v>0</v>
        <stp/>
        <stp>S_E_BS_DEFFEREDEXPENSE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66" s="2"/>
      </tp>
      <tp>
        <v>0</v>
        <stp/>
        <stp>S_I_BS_OUTCLAIMRESERVE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9" s="2"/>
      </tp>
      <tp>
        <v>0</v>
        <stp/>
        <stp>S_E_CFS_OTHERCASHOUTFIN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90" s="2"/>
      </tp>
      <tp>
        <v>0</v>
        <stp/>
        <stp>S_E_CFS_OTHERCASHOUTFIN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90" s="2"/>
      </tp>
      <tp>
        <v>0</v>
        <stp/>
        <stp>S_E_BS_DEFFEREDEXPENSE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66" s="2"/>
      </tp>
      <tp>
        <v>311417.62</v>
        <stp/>
        <stp>S_E_CFS_OTHERCASHOUTFIN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90" s="2"/>
      </tp>
      <tp>
        <v>1106600000</v>
        <stp/>
        <stp>S_E_CFS_OTHERCASHOUTINV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74" s="2"/>
      </tp>
      <tp>
        <v>21961172.82</v>
        <stp/>
        <stp>S_E_BS_OTHERRECEIVABLE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60" s="2"/>
      </tp>
      <tp>
        <v>0</v>
        <stp/>
        <stp>S_E_IS_FAIRVALUECHANGE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6" s="2"/>
      </tp>
      <tp>
        <v>11898841.619999999</v>
        <stp/>
        <stp>S_E_BS_OTHERRECEIVABLE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60" s="2"/>
      </tp>
      <tp>
        <v>0</v>
        <stp/>
        <stp>S_E_BS_OTHERRECEIVABLE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0" s="2"/>
      </tp>
      <tp>
        <v>0</v>
        <stp/>
        <stp>S_E_IS_FAIRVALUECHANGE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26" s="2"/>
      </tp>
      <tp>
        <v>0</v>
        <stp/>
        <stp>S_E_CFS_CASHFROMINVEST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80" s="2"/>
      </tp>
      <tp>
        <v>20000000</v>
        <stp/>
        <stp>S_E_CFS_CASHFROMINVEST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80" s="2"/>
      </tp>
      <tp>
        <v>21409473.32</v>
        <stp/>
        <stp>S_E_BS_OTHERRECEIVABLE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60" s="2"/>
      </tp>
      <tp>
        <v>0</v>
        <stp/>
        <stp>S_E_BS_DEFERREDTAXASSETS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87" s="2"/>
      </tp>
      <tp>
        <v>0</v>
        <stp/>
        <stp>S_E_BS_DEFERREDTAXASSETS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87" s="2"/>
      </tp>
      <tp>
        <v>0</v>
        <stp/>
        <stp>S_E_BS_DEFERREDTAXASSETS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87" s="2"/>
      </tp>
      <tp>
        <v>0</v>
        <stp/>
        <stp>S_E_BS_DEFERREDTAXASSETS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87" s="2"/>
      </tp>
      <tp>
        <v>0</v>
        <stp/>
        <stp>S_E_BS_CONSTRUMATERIALS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79" s="2"/>
      </tp>
      <tp>
        <v>0</v>
        <stp/>
        <stp>S_E_BS_CONSTRUMATERIALS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9" s="2"/>
      </tp>
      <tp>
        <v>0</v>
        <stp/>
        <stp>S_E_BS_DEFERREDEXPENSE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15" s="2"/>
      </tp>
      <tp>
        <v>1255679083.3900001</v>
        <stp/>
        <stp>S_E_BS_CASHEQUIVALENTS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49" s="2"/>
      </tp>
      <tp>
        <v>1540786201.27</v>
        <stp/>
        <stp>S_E_BS_CASHEQUIVALENTS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49" s="2"/>
      </tp>
      <tp>
        <v>0</v>
        <stp/>
        <stp>S_E_BS_DEFERREDEXPENSE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15" s="2"/>
      </tp>
      <tp>
        <v>1237404897.8099999</v>
        <stp/>
        <stp>S_E_BS_CASHEQUIVALENTS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49" s="2"/>
      </tp>
      <tp>
        <v>2189152597.25</v>
        <stp/>
        <stp>S_E_BS_CASHEQUIVALENTS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49" s="2"/>
      </tp>
      <tp>
        <v>0</v>
        <stp/>
        <stp>S_E_BS_DEFERREDEXPENSE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5" s="2"/>
      </tp>
      <tp>
        <v>0</v>
        <stp/>
        <stp>S_E_BS_DEFERREDEXPENSE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15" s="2"/>
      </tp>
      <tp>
        <v>0</v>
        <stp/>
        <stp>S_E_BS_DEFERREDTAXASSETS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87" s="2"/>
      </tp>
      <tp>
        <v>0</v>
        <stp/>
        <stp>S_E_BS_DEFERREDTAXASSETS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87" s="2"/>
      </tp>
      <tp>
        <v>0</v>
        <stp/>
        <stp>S_E_BS_CONSTRUMATERIALS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79" s="2"/>
      </tp>
      <tp>
        <v>0</v>
        <stp/>
        <stp>S_E_BS_CONSTRUMATERIALS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9" s="2"/>
      </tp>
      <tp>
        <v>0</v>
        <stp/>
        <stp>S_E_BS_CONSTRUMATERIALS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9" s="2"/>
      </tp>
      <tp>
        <v>0</v>
        <stp/>
        <stp>S_E_BS_CONSTRUMATERIALS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9" s="2"/>
      </tp>
      <tp>
        <v>1927832557.6900001</v>
        <stp/>
        <stp>S_E_BS_CASHEQUIVALENTS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49" s="2"/>
      </tp>
      <tp>
        <v>1685606135.6700001</v>
        <stp/>
        <stp>S_E_BS_CASHEQUIVALENTS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49" s="2"/>
      </tp>
      <tp>
        <v>0</v>
        <stp/>
        <stp>S_E_BS_DEFERREDEXPENSE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5" s="2"/>
      </tp>
      <tp>
        <v>0</v>
        <stp/>
        <stp>S_E_BS_DEFERREDEXPENSE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15" s="2"/>
      </tp>
      <tp>
        <v>0</v>
        <stp/>
        <stp>S_E_BS_HTMINVEST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3" s="2"/>
      </tp>
      <tp>
        <v>0</v>
        <stp/>
        <stp>S_E_BS_HTMINVEST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73" s="2"/>
      </tp>
      <tp>
        <v>0</v>
        <stp/>
        <stp>S_E_CFS_CASHFROMBORROW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82" s="2"/>
      </tp>
      <tp>
        <v>80688967.969999999</v>
        <stp/>
        <stp>S_E_IS_OPPROFIT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31" s="2"/>
      </tp>
      <tp>
        <v>200531.06</v>
        <stp/>
        <stp>S_E_IS_TAXCOST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37" s="2"/>
        <tr r="G21" s="4"/>
      </tp>
      <tp>
        <v>0</v>
        <stp/>
        <stp>S_E_IS_TAXCOST</stp>
        <stp>603888.SH</stp>
        <stp>2016-03-31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7" s="7"/>
      </tp>
      <tp>
        <v>482494.91</v>
        <stp/>
        <stp>S_E_IS_TAXCOST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37" s="2"/>
        <tr r="C21" s="4"/>
      </tp>
      <tp>
        <v>247463116.25999999</v>
        <stp/>
        <stp>S_E_IS_OPPROFIT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31" s="2"/>
      </tp>
      <tp>
        <v>274655652.5</v>
        <stp/>
        <stp>S_E_IS_OPPROFIT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31" s="2"/>
      </tp>
      <tp>
        <v>0</v>
        <stp/>
        <stp>S_E_BS_TRADINGLIABILITY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8" s="2"/>
      </tp>
      <tp>
        <v>0</v>
        <stp/>
        <stp>S_E_BS_TRADINGLIABILITY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98" s="2"/>
      </tp>
      <tp>
        <v>0</v>
        <stp/>
        <stp>S_E_CFS_CASHFROMBORROW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82" s="2"/>
      </tp>
      <tp>
        <v>0</v>
        <stp/>
        <stp>S_E_CFS_CASHFROMBORROW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82" s="2"/>
      </tp>
      <tp>
        <v>0</v>
        <stp/>
        <stp>S_E_BS_TRADINGLIABILITY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98" s="2"/>
      </tp>
      <tp>
        <v>0</v>
        <stp/>
        <stp>S_E_BS_TRADINGLIABILITY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8" s="2"/>
      </tp>
      <tp>
        <v>0</v>
        <stp/>
        <stp>S_E_CFS_CASHFROMBORROW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82" s="2"/>
      </tp>
      <tp>
        <v>147027633.47</v>
        <stp/>
        <stp>S_E_IS_OPPROFIT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31" s="2"/>
      </tp>
      <tp>
        <v>3329155860.04</v>
        <stp/>
        <stp>S_E_BS_LIABILITYEQUITY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46" s="2"/>
      </tp>
      <tp>
        <v>3637237819.3499999</v>
        <stp/>
        <stp>S_E_BS_LIABILITYEQUITY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46" s="2"/>
      </tp>
      <tp>
        <v>0</v>
        <stp/>
        <stp>S_E_BS_HTMINVEST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73" s="2"/>
      </tp>
      <tp>
        <v>0</v>
        <stp/>
        <stp>S_E_BS_HTMINVEST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3" s="2"/>
      </tp>
      <tp>
        <v>0</v>
        <stp/>
        <stp>S_E_BS_HTMINVEST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3" s="2"/>
      </tp>
      <tp>
        <v>0</v>
        <stp/>
        <stp>S_E_BS_HTMINVEST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3" s="2"/>
      </tp>
      <tp>
        <v>562894.26</v>
        <stp/>
        <stp>S_E_IS_TAXCOST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37" s="2"/>
        <tr r="B21" s="4"/>
      </tp>
      <tp>
        <v>1700029.62</v>
        <stp/>
        <stp>S_E_IS_TAXCOST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37" s="2"/>
        <tr r="F21" s="4"/>
      </tp>
      <tp>
        <v>0</v>
        <stp/>
        <stp>S_E_IS_TAXCOST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7" s="7"/>
      </tp>
      <tp>
        <v>0</v>
        <stp/>
        <stp>S_E_IS_TAXCOST</stp>
        <stp>603888.SH</stp>
        <stp>2016-06-30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7" s="7"/>
      </tp>
      <tp>
        <v>650478.65</v>
        <stp/>
        <stp>S_E_IS_TAXCOST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37" s="2"/>
        <tr r="D21" s="4"/>
      </tp>
      <tp>
        <v>23316106.129999999</v>
        <stp/>
        <stp>S_E_IS_OPPROFIT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31" s="2"/>
      </tp>
      <tp>
        <v>21791623.359999999</v>
        <stp/>
        <stp>S_E_IS_OPPROFIT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31" s="2"/>
      </tp>
      <tp>
        <v>0</v>
        <stp/>
        <stp>S_E_CFS_CASHFROMBORROW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82" s="2"/>
      </tp>
      <tp>
        <v>0</v>
        <stp/>
        <stp>S_E_CFS_CASHFROMBORROW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82" s="2"/>
      </tp>
      <tp>
        <v>0</v>
        <stp/>
        <stp>S_E_IS_TAXCOST</stp>
        <stp>603888.SH</stp>
        <stp>2016-09-30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7" s="7"/>
      </tp>
      <tp>
        <v>1758561.12</v>
        <stp/>
        <stp>S_E_IS_TAXCOST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37" s="2"/>
        <tr r="E21" s="4"/>
      </tp>
      <tp>
        <v>0</v>
        <stp/>
        <stp>S_E_BS_TRADINGLIABILITY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98" s="2"/>
      </tp>
      <tp>
        <v>0</v>
        <stp/>
        <stp>S_E_BS_TRADINGLIABILITY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8" s="2"/>
      </tp>
      <tp>
        <v>3549775606.5</v>
        <stp/>
        <stp>S_E_BS_LIABILITYEQUITY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46" s="2"/>
      </tp>
      <tp>
        <v>3760046635.79</v>
        <stp/>
        <stp>S_E_BS_LIABILITYEQUITY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46" s="2"/>
      </tp>
      <tp>
        <v>3282871188.5300002</v>
        <stp/>
        <stp>S_E_BS_LIABILITYEQUITY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46" s="2"/>
      </tp>
      <tp>
        <v>3572809273.6700001</v>
        <stp/>
        <stp>S_E_BS_LIABILITYEQUITY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46" s="2"/>
      </tp>
      <tp>
        <v>0</v>
        <stp/>
        <stp>S_FA_DUPONT_ASSETSTOEQUITY</stp>
        <stp>603888.SH</stp>
        <stp>2016-03-31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4" s="7"/>
      </tp>
      <tp>
        <v>1.3779623231238609</v>
        <stp/>
        <stp>S_FA_DUPONT_ASSETSTOEQUITY</stp>
        <stp>603888.SH</stp>
        <stp>2017-03-31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8" s="4"/>
      </tp>
      <tp>
        <v>1.3533357592216519</v>
        <stp/>
        <stp>S_FA_DUPONT_ASSETSTOEQUITY</stp>
        <stp>603888.SH</stp>
        <stp>2018-03-31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8" s="4"/>
      </tp>
      <tp>
        <v>1.6363459634668625</v>
        <stp/>
        <stp>S_FA_DUPONT_ASSETSTOEQUITY</stp>
        <stp>603888.SH</stp>
        <stp>2016-09-30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4" s="7"/>
      </tp>
      <tp>
        <v>1.3712338725934146</v>
        <stp/>
        <stp>S_FA_DUPONT_ASSETSTOEQUITY</stp>
        <stp>603888.SH</stp>
        <stp>2017-09-30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8" s="4"/>
      </tp>
      <tp>
        <v>1.6213817353962092</v>
        <stp/>
        <stp>S_FA_DUPONT_ASSETSTOEQUITY</stp>
        <stp>603888.SH</stp>
        <stp>2016-06-30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4" s="7"/>
      </tp>
      <tp>
        <v>1.4075909237692528</v>
        <stp/>
        <stp>S_FA_DUPONT_ASSETSTOEQUITY</stp>
        <stp>603888.SH</stp>
        <stp>2017-06-30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8" s="4"/>
      </tp>
      <tp>
        <v>1.6525535286233906</v>
        <stp/>
        <stp>S_FA_DUPONT_ASSETSTOEQUITY</stp>
        <stp>603888.SH</stp>
        <stp>2015-12-31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4" s="7"/>
      </tp>
      <tp>
        <v>1.4739426486939915</v>
        <stp/>
        <stp>S_FA_DUPONT_ASSETSTOEQUITY</stp>
        <stp>603888.SH</stp>
        <stp>2016-12-31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8" s="4"/>
      </tp>
      <tp>
        <v>1.3844257193261742</v>
        <stp/>
        <stp>S_FA_DUPONT_ASSETSTOEQUITY</stp>
        <stp>603888.SH</stp>
        <stp>2017-12-31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8" s="4"/>
      </tp>
      <tp>
        <v>172289402.88</v>
        <stp/>
        <stp>S_E_IS_NETPROFIT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40" s="2"/>
        <tr r="E14" s="4"/>
      </tp>
      <tp>
        <v>160791856.38999999</v>
        <stp/>
        <stp>S_E_IS_NETPROFIT</stp>
        <stp>603888.SH</stp>
        <stp>2016-09-30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" s="7"/>
      </tp>
      <tp>
        <v>282737927.16000003</v>
        <stp/>
        <stp>S_E_IS_NETPROFIT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40" s="2"/>
        <tr r="F14" s="4"/>
      </tp>
      <tp>
        <v>280136840.39999998</v>
        <stp/>
        <stp>S_E_IS_NETPROFIT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40" s="2"/>
        <tr r="B14" s="4"/>
      </tp>
      <tp>
        <v>261425173.41</v>
        <stp/>
        <stp>S_E_IS_NETPROFIT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" s="7"/>
      </tp>
      <tp>
        <v>107037895.89</v>
        <stp/>
        <stp>S_E_IS_NETPROFIT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40" s="2"/>
        <tr r="D14" s="4"/>
      </tp>
      <tp>
        <v>102192180.26000001</v>
        <stp/>
        <stp>S_E_IS_NETPROFIT</stp>
        <stp>603888.SH</stp>
        <stp>2016-06-30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" s="7"/>
      </tp>
      <tp>
        <v>351327170.75</v>
        <stp/>
        <stp>S_E_BS_CONSTRUINPROCESS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78" s="2"/>
      </tp>
      <tp>
        <v>288613655.54999995</v>
        <stp/>
        <stp>S_E_BS_CONSTRUINPROCESS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8" s="2"/>
      </tp>
      <tp>
        <v>382009825.83999997</v>
        <stp/>
        <stp>S_E_BS_CONSTRUINPROCESS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8" s="2"/>
      </tp>
      <tp>
        <v>365203302.75999999</v>
        <stp/>
        <stp>S_E_BS_CONSTRUINPROCESS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8" s="2"/>
      </tp>
      <tp>
        <v>22952406.73</v>
        <stp/>
        <stp>S_E_IS_NETPROFIT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40" s="2"/>
        <tr r="G14" s="4"/>
      </tp>
      <tp>
        <v>21261358.969999999</v>
        <stp/>
        <stp>S_E_IS_NETPROFIT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40" s="2"/>
        <tr r="C14" s="4"/>
      </tp>
      <tp>
        <v>19161436.620000001</v>
        <stp/>
        <stp>S_E_IS_NETPROFIT</stp>
        <stp>603888.SH</stp>
        <stp>2016-03-31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" s="7"/>
      </tp>
      <tp>
        <v>304565296.07999998</v>
        <stp/>
        <stp>S_E_BS_CONSTRUINPROCESS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8" s="2"/>
      </tp>
      <tp>
        <v>355326015.13999999</v>
        <stp/>
        <stp>S_E_BS_CONSTRUINPROCESS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78" s="2"/>
      </tp>
      <tp>
        <v>248055496.41999999</v>
        <stp/>
        <stp>S_E_BS_HOLDFORSALEASSETS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2" s="2"/>
      </tp>
      <tp>
        <v>251993315.88</v>
        <stp/>
        <stp>S_E_BS_HOLDFORSALEASSETS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72" s="2"/>
      </tp>
      <tp>
        <v>194340296.13999999</v>
        <stp/>
        <stp>S_E_BS_HOLDFORSALEASSETS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2" s="2"/>
      </tp>
      <tp>
        <v>168920778.49000001</v>
        <stp/>
        <stp>S_E_IS_OPREVENUE</stp>
        <stp>603888.SH</stp>
        <stp>2016-03-31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2" s="7"/>
      </tp>
      <tp>
        <v>206560034.19</v>
        <stp/>
        <stp>S_E_IS_OPREVENUE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7" s="2"/>
        <tr r="C5" s="4"/>
        <tr r="C5" s="2"/>
      </tp>
      <tp>
        <v>245171777.13999999</v>
        <stp/>
        <stp>S_E_IS_OPREVENUE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" s="2"/>
        <tr r="G5" s="2"/>
        <tr r="G5" s="4"/>
      </tp>
      <tp>
        <v>254525671.09</v>
        <stp/>
        <stp>S_E_BS_HOLDFORSALEASSETS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2" s="2"/>
      </tp>
      <tp>
        <v>102192180.26000001</v>
        <stp/>
        <stp>S_E_IS_NPPARENT</stp>
        <stp>603888.SH</stp>
        <stp>2016-06-30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" s="7"/>
      </tp>
      <tp>
        <v>107056605.81999999</v>
        <stp/>
        <stp>S_E_IS_NPPARENT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42" s="2"/>
        <tr r="D13" s="4"/>
      </tp>
      <tp>
        <v>280136840.39999998</v>
        <stp/>
        <stp>S_E_IS_NPPARENT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42" s="2"/>
        <tr r="B13" s="4"/>
      </tp>
      <tp>
        <v>283961280.93000001</v>
        <stp/>
        <stp>S_E_IS_NPPARENT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42" s="2"/>
        <tr r="F13" s="4"/>
      </tp>
      <tp>
        <v>262338152.53999999</v>
        <stp/>
        <stp>S_E_IS_NPPARENT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9" s="7"/>
      </tp>
      <tp>
        <v>160791856.38999999</v>
        <stp/>
        <stp>S_E_IS_NPPARENT</stp>
        <stp>603888.SH</stp>
        <stp>2016-09-30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" s="7"/>
      </tp>
      <tp>
        <v>170833780.71000001</v>
        <stp/>
        <stp>S_E_IS_NPPARENT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42" s="2"/>
        <tr r="E13" s="4"/>
      </tp>
      <tp>
        <v>0</v>
        <stp/>
        <stp>S_E_BS_UNCERINVESTLOSS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40" s="2"/>
      </tp>
      <tp>
        <v>0</v>
        <stp/>
        <stp>S_E_BS_UNCERINVESTLOSS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38" s="2"/>
      </tp>
      <tp>
        <v>0</v>
        <stp/>
        <stp>S_E_BS_UNCERINVESTLOSS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38" s="2"/>
      </tp>
      <tp>
        <v>0</v>
        <stp/>
        <stp>S_E_BS_UNCERINVESTLOSS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40" s="2"/>
      </tp>
      <tp>
        <v>532183519.00999999</v>
        <stp/>
        <stp>S_E_IS_OPREVENUE</stp>
        <stp>603888.SH</stp>
        <stp>2016-06-30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2" s="7"/>
      </tp>
      <tp>
        <v>562845159.71000004</v>
        <stp/>
        <stp>S_E_IS_OPREVENUE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7" s="2"/>
        <tr r="D5" s="4"/>
        <tr r="D5" s="2"/>
      </tp>
      <tp>
        <v>259843149.61000001</v>
        <stp/>
        <stp>S_E_BS_HOLDFORSALEASSETS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72" s="2"/>
      </tp>
      <tp>
        <v>178861990.86000001</v>
        <stp/>
        <stp>S_E_BS_HOLDFORSALEASSETS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2" s="2"/>
      </tp>
      <tp>
        <v>1361356934.3099999</v>
        <stp/>
        <stp>S_E_IS_OPREVENUE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7" s="2"/>
        <tr r="B5" s="4"/>
        <tr r="B5" s="2"/>
      </tp>
      <tp>
        <v>1501729289.8699999</v>
        <stp/>
        <stp>S_E_IS_OPREVENUE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" s="2"/>
        <tr r="F5" s="2"/>
        <tr r="F5" s="4"/>
      </tp>
      <tp>
        <v>997533568</v>
        <stp/>
        <stp>S_E_IS_OPREVENUE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2" s="7"/>
      </tp>
      <tp>
        <v>794946106.76999998</v>
        <stp/>
        <stp>S_E_IS_OPREVENUE</stp>
        <stp>603888.SH</stp>
        <stp>2016-09-30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2" s="7"/>
      </tp>
      <tp>
        <v>901850007.88</v>
        <stp/>
        <stp>S_E_IS_OPREVENUE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" s="2"/>
        <tr r="E5" s="4"/>
        <tr r="E5" s="2"/>
      </tp>
      <tp>
        <v>0</v>
        <stp/>
        <stp>S_E_BS_UNCERINVESTLOSS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40" s="2"/>
      </tp>
      <tp>
        <v>0</v>
        <stp/>
        <stp>S_E_BS_UNCERINVESTLOSS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38" s="2"/>
      </tp>
      <tp>
        <v>23725682.079999998</v>
        <stp/>
        <stp>S_E_IS_NPPARENT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42" s="2"/>
        <tr r="G13" s="4"/>
      </tp>
      <tp>
        <v>19161436.620000001</v>
        <stp/>
        <stp>S_E_IS_NPPARENT</stp>
        <stp>603888.SH</stp>
        <stp>2016-03-31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" s="7"/>
      </tp>
      <tp>
        <v>20942803</v>
        <stp/>
        <stp>S_E_IS_NPPARENT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42" s="2"/>
        <tr r="C13" s="4"/>
      </tp>
      <tp>
        <v>0</v>
        <stp/>
        <stp>S_E_BS_UNCERINVESTLOSS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40" s="2"/>
      </tp>
      <tp>
        <v>0</v>
        <stp/>
        <stp>S_E_BS_UNCERINVESTLOSS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38" s="2"/>
      </tp>
      <tp>
        <v>0</v>
        <stp/>
        <stp>S_E_BS_UNCERINVESTLOSS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40" s="2"/>
        <tr r="B38" s="2"/>
      </tp>
      <tp>
        <v>0</v>
        <stp/>
        <stp>S_E_BS_UNCERINVESTLOSS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40" s="2"/>
        <tr r="F38" s="2"/>
      </tp>
      <tp>
        <v>5216525.41</v>
        <stp/>
        <stp>S_E_BS_OTHERNONCURASSETS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88" s="2"/>
      </tp>
      <tp>
        <v>11805219.369999999</v>
        <stp/>
        <stp>S_E_BS_OTHERNONCURASSETS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88" s="2"/>
      </tp>
      <tp>
        <v>0</v>
        <stp/>
        <stp>S_E_BS_TRADINGFINASSETS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52" s="2"/>
      </tp>
      <tp>
        <v>0</v>
        <stp/>
        <stp>S_E_BS_TRADINGFINASSETS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52" s="2"/>
      </tp>
      <tp>
        <v>2200000</v>
        <stp/>
        <stp>S_E_CFS_NETFINCASHFLOW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94" s="2"/>
      </tp>
      <tp>
        <v>20810000</v>
        <stp/>
        <stp>S_E_CFS_NETFINCASHFLOW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94" s="2"/>
      </tp>
      <tp>
        <v>-426673642.48000002</v>
        <stp/>
        <stp>S_E_CFS_NETINVCASHFLOW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78" s="2"/>
      </tp>
      <tp>
        <v>702357019.96000004</v>
        <stp/>
        <stp>S_E_CFS_NETINVCASHFLOW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78" s="2"/>
      </tp>
      <tp>
        <v>6043486.8700000001</v>
        <stp/>
        <stp>S_E_BS_OTHERNONCURASSETS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88" s="2"/>
      </tp>
      <tp>
        <v>11805219.369999999</v>
        <stp/>
        <stp>S_E_BS_OTHERNONCURASSETS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88" s="2"/>
      </tp>
      <tp>
        <v>7323226.6799999997</v>
        <stp/>
        <stp>S_E_BS_OTHERNONCURASSETS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88" s="2"/>
      </tp>
      <tp>
        <v>7346461.75</v>
        <stp/>
        <stp>S_E_BS_OTHERNONCURASSETS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88" s="2"/>
      </tp>
      <tp>
        <v>0</v>
        <stp/>
        <stp>S_E_BS_TRADINGFINASSETS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52" s="2"/>
      </tp>
      <tp>
        <v>0</v>
        <stp/>
        <stp>S_E_BS_TRADINGFINASSETS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52" s="2"/>
      </tp>
      <tp>
        <v>0</v>
        <stp/>
        <stp>S_E_BS_TRADINGFINASSETS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52" s="2"/>
      </tp>
      <tp>
        <v>0</v>
        <stp/>
        <stp>S_E_BS_TRADINGFINASSETS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52" s="2"/>
      </tp>
      <tp>
        <v>-94259522.739999995</v>
        <stp/>
        <stp>S_E_CFS_NETINVCASHFLOW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78" s="2"/>
      </tp>
      <tp>
        <v>69348582.38000001</v>
        <stp/>
        <stp>S_E_CFS_NETFINCASHFLOW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94" s="2"/>
      </tp>
      <tp>
        <v>115006500</v>
        <stp/>
        <stp>S_E_CFS_NETFINCASHFLOW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94" s="2"/>
      </tp>
      <tp>
        <v>1181784702.4400001</v>
        <stp/>
        <stp>S_E_CFS_NETFINCASHFLOW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94" s="2"/>
      </tp>
      <tp>
        <v>-960865057.50999999</v>
        <stp/>
        <stp>S_E_CFS_NETINVCASHFLOW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78" s="2"/>
      </tp>
      <tp>
        <v>159683886.97999999</v>
        <stp/>
        <stp>S_E_CFS_NETINVCASHFLOW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78" s="2"/>
      </tp>
      <tp>
        <v>204567497.58000001</v>
        <stp/>
        <stp>S_E_CFS_NETINVCASHFLOW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78" s="2"/>
      </tp>
      <tp>
        <v>100197000</v>
        <stp/>
        <stp>S_E_CFS_NETFINCASHFLOW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94" s="2"/>
      </tp>
      <tp>
        <v>0</v>
        <stp/>
        <stp>S_E_BS_BIOASSETS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81" s="2"/>
      </tp>
      <tp>
        <v>0</v>
        <stp/>
        <stp>S_E_BS_BIOASSETS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81" s="2"/>
      </tp>
      <tp>
        <v>3.9399999999999998E-2</v>
        <stp/>
        <stp>S_E_IS_EPS_BASIC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44" s="2"/>
      </tp>
      <tp>
        <v>4.5699999999999998E-2</v>
        <stp/>
        <stp>S_E_IS_EPS_BASIC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44" s="2"/>
      </tp>
      <tp>
        <v>150863273.69</v>
        <stp/>
        <stp>S_E_IS_GROSSCOST</stp>
        <stp>603888.SH</stp>
        <stp>2016-03-31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5" s="7"/>
        <tr r="E16" s="7"/>
        <tr r="E3" s="7"/>
      </tp>
      <tp>
        <v>192126744.72</v>
        <stp/>
        <stp>S_E_IS_GROSSCOST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9" s="4"/>
        <tr r="C20" s="4"/>
        <tr r="C11" s="2"/>
      </tp>
      <tp>
        <v>224457677.50999999</v>
        <stp/>
        <stp>S_E_IS_GROSSCOST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" s="2"/>
        <tr r="G19" s="4"/>
        <tr r="G20" s="4"/>
      </tp>
      <tp>
        <v>2140719.88</v>
        <stp/>
        <stp>S_E_BS_INVENTORY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63" s="2"/>
      </tp>
      <tp>
        <v>3022981.61</v>
        <stp/>
        <stp>S_E_BS_INVENTORY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3" s="2"/>
      </tp>
      <tp>
        <v>115326316.58</v>
        <stp/>
        <stp>S_E_CFS_STAFFBEHALFPAID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56" s="2"/>
      </tp>
      <tp>
        <v>144494777.69999999</v>
        <stp/>
        <stp>S_E_CFS_STAFFBEHALFPAID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56" s="2"/>
      </tp>
      <tp>
        <v>-6723825.71</v>
        <stp/>
        <stp>S_E_IS_FINANCIALEXPENSE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3" s="2"/>
      </tp>
      <tp>
        <v>-4097701.94</v>
        <stp/>
        <stp>S_E_IS_FINANCIALEXPENSE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23" s="2"/>
      </tp>
      <tp>
        <v>0</v>
        <stp/>
        <stp>S_I_BS_INSURRECEIVABLE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56" s="2"/>
      </tp>
      <tp>
        <v>0</v>
        <stp/>
        <stp>S_I_BS_INSURRECEIVABLE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56" s="2"/>
      </tp>
      <tp>
        <v>0</v>
        <stp/>
        <stp>S_E_BS_BIOASSETS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81" s="2"/>
      </tp>
      <tp>
        <v>0</v>
        <stp/>
        <stp>S_E_BS_BIOASSETS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81" s="2"/>
      </tp>
      <tp>
        <v>0.3291</v>
        <stp/>
        <stp>S_E_IS_EPS_BASIC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44" s="2"/>
      </tp>
      <tp>
        <v>631693175.29999995</v>
        <stp/>
        <stp>S_E_IS_GROSSCOST</stp>
        <stp>603888.SH</stp>
        <stp>2016-09-30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5" s="7"/>
        <tr r="G16" s="7"/>
        <tr r="G3" s="7"/>
      </tp>
      <tp>
        <v>818679576.01999998</v>
        <stp/>
        <stp>S_E_IS_GROSSCOST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0" s="4"/>
        <tr r="E11" s="2"/>
        <tr r="E19" s="4"/>
      </tp>
      <tp>
        <v>0</v>
        <stp/>
        <stp>S_E_BS_BIOASSETS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81" s="2"/>
      </tp>
      <tp>
        <v>0.68</v>
        <stp/>
        <stp>S_E_IS_EPS_BASIC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44" s="2"/>
      </tp>
      <tp>
        <v>0.54710000000000003</v>
        <stp/>
        <stp>S_E_IS_EPS_BASIC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44" s="2"/>
      </tp>
      <tp>
        <v>1082544343.9099998</v>
        <stp/>
        <stp>S_E_IS_GROSSCOST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1" s="2"/>
        <tr r="B19" s="4"/>
        <tr r="B20" s="4"/>
      </tp>
      <tp>
        <v>1351160922.8399999</v>
        <stp/>
        <stp>S_E_IS_GROSSCOST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" s="2"/>
        <tr r="F19" s="4"/>
        <tr r="F20" s="4"/>
      </tp>
      <tp>
        <v>746989638.91999996</v>
        <stp/>
        <stp>S_E_IS_GROSSCOST</stp>
        <stp>603888.SH</stp>
        <stp>2015-12-31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6" s="7"/>
        <tr r="D15" s="7"/>
        <tr r="D3" s="7"/>
      </tp>
      <tp>
        <v>0</v>
        <stp/>
        <stp>S_E_BS_BIOASSETS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81" s="2"/>
      </tp>
      <tp>
        <v>0.20630000000000001</v>
        <stp/>
        <stp>S_E_IS_EPS_BASIC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44" s="2"/>
      </tp>
      <tp>
        <v>429341762.91000003</v>
        <stp/>
        <stp>S_E_IS_GROSSCOST</stp>
        <stp>603888.SH</stp>
        <stp>2016-06-30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5" s="7"/>
        <tr r="F16" s="7"/>
        <tr r="F3" s="7"/>
      </tp>
      <tp>
        <v>498031576.24000001</v>
        <stp/>
        <stp>S_E_IS_GROSSCOST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0" s="4"/>
        <tr r="D11" s="2"/>
        <tr r="D19" s="4"/>
      </tp>
      <tp>
        <v>1863558.08</v>
        <stp/>
        <stp>S_E_BS_INVENTORY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3" s="2"/>
      </tp>
      <tp>
        <v>1072429.58</v>
        <stp/>
        <stp>S_E_BS_INVENTORY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63" s="2"/>
      </tp>
      <tp>
        <v>3595248.29</v>
        <stp/>
        <stp>S_E_BS_INVENTORY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63" s="2"/>
      </tp>
      <tp>
        <v>3172895.76</v>
        <stp/>
        <stp>S_E_BS_INVENTORY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63" s="2"/>
      </tp>
      <tp>
        <v>321050091.57999998</v>
        <stp/>
        <stp>S_E_CFS_STAFFBEHALFPAID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56" s="2"/>
      </tp>
      <tp>
        <v>222560149.13999999</v>
        <stp/>
        <stp>S_E_CFS_STAFFBEHALFPAID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56" s="2"/>
      </tp>
      <tp>
        <v>365785234.25</v>
        <stp/>
        <stp>S_E_CFS_STAFFBEHALFPAID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56" s="2"/>
      </tp>
      <tp>
        <v>436137666.05000001</v>
        <stp/>
        <stp>S_E_CFS_STAFFBEHALFPAID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56" s="2"/>
      </tp>
      <tp>
        <v>-14868381.34</v>
        <stp/>
        <stp>S_E_IS_FINANCIALEXPENSE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23" s="2"/>
      </tp>
      <tp>
        <v>-15965213.109999999</v>
        <stp/>
        <stp>S_E_IS_FINANCIALEXPENSE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3" s="2"/>
      </tp>
      <tp>
        <v>0</v>
        <stp/>
        <stp>S_I_BS_INSURRECEIVABLE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56" s="2"/>
      </tp>
      <tp>
        <v>-8227910.3700000001</v>
        <stp/>
        <stp>S_E_IS_FINANCIALEXPENSE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3" s="2"/>
      </tp>
      <tp>
        <v>-11874350.310000001</v>
        <stp/>
        <stp>S_E_IS_FINANCIALEXPENSE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3" s="2"/>
      </tp>
      <tp>
        <v>0</v>
        <stp/>
        <stp>S_I_BS_INSURRECEIVABLE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56" s="2"/>
      </tp>
      <tp>
        <v>0</v>
        <stp/>
        <stp>S_I_BS_INSURRECEIVABLE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56" s="2"/>
      </tp>
      <tp>
        <v>0</v>
        <stp/>
        <stp>S_I_BS_INSURRECEIVABLE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56" s="2"/>
      </tp>
      <tp>
        <v>431017083.38999999</v>
        <stp/>
        <stp>S_E_CFS_SUBTOTALINVCOF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76" s="2"/>
      </tp>
      <tp>
        <v>4343440.91</v>
        <stp/>
        <stp>S_E_CFS_SUBTOTALINVCIF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70" s="2"/>
      </tp>
      <tp>
        <v>1125793150.6899998</v>
        <stp/>
        <stp>S_E_CFS_SUBTOTALINVCIF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70" s="2"/>
      </tp>
      <tp>
        <v>423436130.73000002</v>
        <stp/>
        <stp>S_E_CFS_SUBTOTALINVCOF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76" s="2"/>
      </tp>
      <tp>
        <v>60000000</v>
        <stp/>
        <stp>S_E_CFS_MINOSINVESTSUB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81" s="2"/>
      </tp>
      <tp>
        <v>65000000</v>
        <stp/>
        <stp>S_E_CFS_MINOSINVESTSUB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81" s="2"/>
      </tp>
      <tp>
        <v>60000000</v>
        <stp/>
        <stp>S_E_CFS_MINOSINVESTSUB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81" s="2"/>
      </tp>
      <tp>
        <v>3390087.04</v>
        <stp/>
        <stp>S_E_IS_ASSETIMPAIRLOSS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4" s="2"/>
      </tp>
      <tp>
        <v>2232914.85</v>
        <stp/>
        <stp>S_E_IS_ASSETIMPAIRLOSS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24" s="2"/>
      </tp>
      <tp>
        <v>60000000</v>
        <stp/>
        <stp>S_E_CFS_MINOSINVESTSUB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81" s="2"/>
      </tp>
      <tp>
        <v>1141575993.4000001</v>
        <stp/>
        <stp>S_E_CFS_SUBTOTALINVCIF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70" s="2"/>
      </tp>
      <tp>
        <v>937008495.82000005</v>
        <stp/>
        <stp>S_E_CFS_SUBTOTALINVCOF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76" s="2"/>
      </tp>
      <tp>
        <v>609534149.64999998</v>
        <stp/>
        <stp>S_E_CFS_SUBTOTALINVCIF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70" s="2"/>
      </tp>
      <tp>
        <v>1217337064.6800001</v>
        <stp/>
        <stp>S_E_CFS_SUBTOTALINVCIF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70" s="2"/>
      </tp>
      <tp>
        <v>1570399207.1600001</v>
        <stp/>
        <stp>S_E_CFS_SUBTOTALINVCOF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76" s="2"/>
      </tp>
      <tp>
        <v>1057653177.7</v>
        <stp/>
        <stp>S_E_CFS_SUBTOTALINVCOF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76" s="2"/>
      </tp>
      <tp>
        <v>1198571464.6300001</v>
        <stp/>
        <stp>S_E_CFS_SUBTOTALINVCIF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70" s="2"/>
      </tp>
      <tp>
        <v>1292830987.3699999</v>
        <stp/>
        <stp>S_E_CFS_SUBTOTALINVCOF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76" s="2"/>
      </tp>
      <tp>
        <v>46053413.520000003</v>
        <stp/>
        <stp>S_E_IS_ASSETIMPAIRLOSS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4" s="2"/>
      </tp>
      <tp>
        <v>0</v>
        <stp/>
        <stp>S_E_CFS_MINOSINVESTSUB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81" s="2"/>
      </tp>
      <tp>
        <v>0</v>
        <stp/>
        <stp>S_E_CFS_MINOSINVESTSUB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81" s="2"/>
      </tp>
      <tp>
        <v>41215390.640000001</v>
        <stp/>
        <stp>S_E_IS_ASSETIMPAIRLOSS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24" s="2"/>
      </tp>
      <tp>
        <v>87121431.239999995</v>
        <stp/>
        <stp>S_E_IS_ASSETIMPAIRLOSS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4" s="2"/>
      </tp>
      <tp>
        <v>43259105.490000002</v>
        <stp/>
        <stp>S_E_IS_ASSETIMPAIRLOSS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4" s="2"/>
      </tp>
      <tp>
        <v>0</v>
        <stp/>
        <stp>S_E_BS_ESTIMATELIABILITY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25" s="2"/>
      </tp>
      <tp>
        <v>0</v>
        <stp/>
        <stp>S_E_BS_ESTIMATELIABILITY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25" s="2"/>
      </tp>
      <tp>
        <v>0</v>
        <stp/>
        <stp>S_E_BS_ESTIMATELIABILITY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25" s="2"/>
      </tp>
      <tp>
        <v>0</v>
        <stp/>
        <stp>S_E_BS_ESTIMATELIABILITY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25" s="2"/>
      </tp>
      <tp>
        <v>0</v>
        <stp/>
        <stp>S_E_BS_ESTIMATELIABILITY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25" s="2"/>
      </tp>
      <tp>
        <v>0</v>
        <stp/>
        <stp>S_E_BS_ESTIMATELIABILITY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25" s="2"/>
      </tp>
      <tp>
        <v>0</v>
        <stp/>
        <stp>S_S_BS_PROXYSECUPROCEEDS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10" s="2"/>
      </tp>
      <tp>
        <v>0</v>
        <stp/>
        <stp>S_S_BS_PROXYSECUPROCEEDS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0" s="2"/>
      </tp>
      <tp>
        <v>491264720.63</v>
        <stp/>
        <stp>S_E_IS_OPPAYOUT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2" s="2"/>
      </tp>
      <tp>
        <v>280449610.78999996</v>
        <stp/>
        <stp>S_E_IS_OPPAYOUT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2" s="2"/>
      </tp>
      <tp>
        <v>821938241.04999995</v>
        <stp/>
        <stp>S_E_IS_OPPAYOUT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2" s="2"/>
      </tp>
      <tp>
        <v>676365093.23999989</v>
        <stp/>
        <stp>S_E_IS_OPPAYOUT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2" s="2"/>
      </tp>
      <tp>
        <v>2350707.61</v>
        <stp/>
        <stp>S_E_IS_OPTAXSUR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20" s="2"/>
      </tp>
      <tp>
        <v>2890142.67</v>
        <stp/>
        <stp>S_E_IS_OPTAXSUR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0" s="2"/>
      </tp>
      <tp>
        <v>0</v>
        <stp/>
        <stp>S_E_IS_INTERESTEXPENSE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3" s="2"/>
      </tp>
      <tp>
        <v>0</v>
        <stp/>
        <stp>S_E_IS_INTERESTEXPENSE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3" s="2"/>
      </tp>
      <tp>
        <v>0</v>
        <stp/>
        <stp>S_E_IS_INTERESTEXPENSE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3" s="2"/>
      </tp>
      <tp>
        <v>0</v>
        <stp/>
        <stp>S_E_IS_INTERESTEXPENSE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3" s="2"/>
      </tp>
      <tp>
        <v>0</v>
        <stp/>
        <stp>S_E_BS_ORDINRISKRESERVE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37" s="2"/>
      </tp>
      <tp>
        <v>0</v>
        <stp/>
        <stp>S_E_BS_ORDINRISKRESERVE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37" s="2"/>
      </tp>
      <tp>
        <v>0</v>
        <stp/>
        <stp>S_S_BS_SETTLEMENTPROVI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50" s="2"/>
      </tp>
      <tp>
        <v>0</v>
        <stp/>
        <stp>S_S_BS_SETTLEMENTPROVI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50" s="2"/>
      </tp>
      <tp>
        <v>0</v>
        <stp/>
        <stp>S_S_BS_PROXYSECUPROCEEDS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10" s="2"/>
      </tp>
      <tp>
        <v>0</v>
        <stp/>
        <stp>S_S_BS_PROXYSECUPROCEEDS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10" s="2"/>
      </tp>
      <tp>
        <v>0</v>
        <stp/>
        <stp>S_S_BS_PROXYSECUPROCEEDS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0" s="2"/>
      </tp>
      <tp>
        <v>0</v>
        <stp/>
        <stp>S_S_BS_PROXYSECUPROCEEDS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10" s="2"/>
      </tp>
      <tp>
        <v>101962135.41</v>
        <stp/>
        <stp>S_E_IS_OPPAYOUT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2" s="2"/>
      </tp>
      <tp>
        <v>141680761.06</v>
        <stp/>
        <stp>S_E_IS_OPPAYOUT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2" s="2"/>
      </tp>
      <tp>
        <v>30108682.41</v>
        <stp/>
        <stp>S_E_IS_OPTAXSUR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0" s="2"/>
      </tp>
      <tp>
        <v>29409801.859999999</v>
        <stp/>
        <stp>S_E_IS_OPTAXSUR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20" s="2"/>
      </tp>
      <tp>
        <v>0</v>
        <stp/>
        <stp>S_E_IS_INTERESTEXPENSE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3" s="2"/>
      </tp>
      <tp>
        <v>0</v>
        <stp/>
        <stp>S_E_IS_INTERESTEXPENSE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3" s="2"/>
      </tp>
      <tp>
        <v>0</v>
        <stp/>
        <stp>S_E_BS_ORDINRISKRESERVE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37" s="2"/>
      </tp>
      <tp>
        <v>9285610.5500000007</v>
        <stp/>
        <stp>S_E_IS_OPTAXSUR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20" s="2"/>
      </tp>
      <tp>
        <v>0</v>
        <stp/>
        <stp>S_S_BS_SETTLEMENTPROVI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50" s="2"/>
      </tp>
      <tp>
        <v>0</v>
        <stp/>
        <stp>S_S_BS_SETTLEMENTPROVI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50" s="2"/>
      </tp>
      <tp>
        <v>0</v>
        <stp/>
        <stp>S_E_BS_ORDINRISKRESERVE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37" s="2"/>
      </tp>
      <tp>
        <v>0</v>
        <stp/>
        <stp>S_E_BS_ORDINRISKRESERVE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37" s="2"/>
      </tp>
      <tp>
        <v>15040023.66</v>
        <stp/>
        <stp>S_E_IS_OPTAXSUR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0" s="2"/>
      </tp>
      <tp>
        <v>0</v>
        <stp/>
        <stp>S_S_BS_SETTLEMENTPROVI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50" s="2"/>
      </tp>
      <tp>
        <v>0</v>
        <stp/>
        <stp>S_S_BS_SETTLEMENTPROVI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50" s="2"/>
      </tp>
      <tp>
        <v>0</v>
        <stp/>
        <stp>S_E_BS_ORDINRISKRESERVE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37" s="2"/>
      </tp>
      <tp>
        <v>0</v>
        <stp/>
        <stp>S_I_BS_REINSURRECEIVABLE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57" s="2"/>
      </tp>
      <tp>
        <v>0</v>
        <stp/>
        <stp>S_I_BS_REINSURRECEIVABLE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57" s="2"/>
      </tp>
      <tp>
        <v>0</v>
        <stp/>
        <stp>S_E_BS_GOODWILL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85" s="2"/>
      </tp>
      <tp>
        <v>0</v>
        <stp/>
        <stp>S_E_BS_GOODWILL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85" s="2"/>
      </tp>
      <tp>
        <v>0</v>
        <stp/>
        <stp>S_E_BS_GOODWILL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85" s="2"/>
      </tp>
      <tp>
        <v>0</v>
        <stp/>
        <stp>S_E_BS_GOODWILL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85" s="2"/>
      </tp>
      <tp>
        <v>0</v>
        <stp/>
        <stp>S_I_BS_REINSURRECEIVABLE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57" s="2"/>
      </tp>
      <tp>
        <v>0</v>
        <stp/>
        <stp>S_I_BS_REINSURRECEIVABLE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57" s="2"/>
      </tp>
      <tp>
        <v>0</v>
        <stp/>
        <stp>S_I_BS_REINSURRECEIVABLE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57" s="2"/>
      </tp>
      <tp>
        <v>0</v>
        <stp/>
        <stp>S_I_BS_REINSURRECEIVABLE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57" s="2"/>
      </tp>
      <tp>
        <v>609599.76</v>
        <stp/>
        <stp>S_E_BS_GOODWILL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85" s="2"/>
      </tp>
      <tp>
        <v>0</v>
        <stp/>
        <stp>S_E_BS_GOODWILL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85" s="2"/>
      </tp>
      <tp>
        <v>0</v>
        <stp/>
        <stp>S_E_BS_INTERESTPAYABLE</stp>
        <stp>603888.SH</stp>
        <stp>2017-09-30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6" s="2"/>
      </tp>
      <tp>
        <v>0</v>
        <stp/>
        <stp>S_E_BS_INTERESTPAYABLE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6" s="2"/>
      </tp>
      <tp>
        <v>0</v>
        <stp/>
        <stp>S_E_BS_INTERESTPAYABLE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06" s="2"/>
      </tp>
      <tp>
        <v>0</v>
        <stp/>
        <stp>S_E_BS_INTERESTPAYABLE</stp>
        <stp>603888.SH</stp>
        <stp>2017-06-30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06" s="2"/>
      </tp>
      <tp>
        <v>128593743.86</v>
        <stp/>
        <stp>S_E_CFS_OTHERCASHOUTOP</stp>
        <stp>603888.SH</stp>
        <stp>2017-09-30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58" s="2"/>
      </tp>
      <tp>
        <v>73527911.359999999</v>
        <stp/>
        <stp>S_E_CFS_OTHERCASHOUTOP</stp>
        <stp>603888.SH</stp>
        <stp>2017-06-30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D158" s="2"/>
      </tp>
      <tp>
        <v>158699791.86000001</v>
        <stp/>
        <stp>S_E_CFS_OTHERCASHOUTOP</stp>
        <stp>603888.SH</stp>
        <stp>2016-12-31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B158" s="2"/>
      </tp>
      <tp>
        <v>168598466.87</v>
        <stp/>
        <stp>S_E_CFS_OTHERCASHOUTOP</stp>
        <stp>603888.SH</stp>
        <stp>2017-12-31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58" s="2"/>
      </tp>
      <tp>
        <v>0</v>
        <stp/>
        <stp>S_E_BS_INTERESTPAYABLE</stp>
        <stp>603888.SH</stp>
        <stp>2017-03-31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06" s="2"/>
      </tp>
      <tp>
        <v>0</v>
        <stp/>
        <stp>S_E_BS_INTERESTPAYABLE</stp>
        <stp>603888.SH</stp>
        <stp>2018-03-31</stp>
        <stp>0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6" s="2"/>
      </tp>
      <tp>
        <v>44091039.289999999</v>
        <stp/>
        <stp>S_E_CFS_OTHERCASHOUTOP</stp>
        <stp>603888.SH</stp>
        <stp>2018-03-31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58" s="2"/>
      </tp>
      <tp>
        <v>24304648</v>
        <stp/>
        <stp>S_E_CFS_OTHERCASHOUTOP</stp>
        <stp>603888.SH</stp>
        <stp>2017-03-31</stp>
        <stp>1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C158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531264474293723E-2"/>
          <c:y val="9.9035691404716145E-2"/>
          <c:w val="0.86751466728423654"/>
          <c:h val="0.64432705754300712"/>
        </c:manualLayout>
      </c:layout>
      <c:lineChart>
        <c:grouping val="standard"/>
        <c:varyColors val="0"/>
        <c:ser>
          <c:idx val="0"/>
          <c:order val="0"/>
          <c:tx>
            <c:strRef>
              <c:f>杜邦分析指标!$A$6</c:f>
              <c:strCache>
                <c:ptCount val="1"/>
                <c:pt idx="0">
                  <c:v>净资产收益率</c:v>
                </c:pt>
              </c:strCache>
            </c:strRef>
          </c:tx>
          <c:spPr>
            <a:ln w="28575"/>
          </c:spPr>
          <c:cat>
            <c:numRef>
              <c:f>杜邦分析指标!$B$2:$G$2</c:f>
              <c:numCache>
                <c:formatCode>yyyy\-mm\-dd</c:formatCode>
                <c:ptCount val="6"/>
                <c:pt idx="0">
                  <c:v>42735</c:v>
                </c:pt>
                <c:pt idx="1">
                  <c:v>42825</c:v>
                </c:pt>
                <c:pt idx="2">
                  <c:v>42916</c:v>
                </c:pt>
                <c:pt idx="3">
                  <c:v>43008</c:v>
                </c:pt>
                <c:pt idx="4">
                  <c:v>43100</c:v>
                </c:pt>
                <c:pt idx="5">
                  <c:v>43190</c:v>
                </c:pt>
              </c:numCache>
            </c:numRef>
          </c:cat>
          <c:val>
            <c:numRef>
              <c:f>杜邦分析指标!$B$6:$G$6</c:f>
              <c:numCache>
                <c:formatCode>0.00%;[Red]\-0.00%</c:formatCode>
                <c:ptCount val="6"/>
                <c:pt idx="0">
                  <c:v>0.16366630504708579</c:v>
                </c:pt>
                <c:pt idx="1">
                  <c:v>8.7290609256798629E-3</c:v>
                </c:pt>
                <c:pt idx="2">
                  <c:v>4.4109379923278437E-2</c:v>
                </c:pt>
                <c:pt idx="3">
                  <c:v>6.8338385367971266E-2</c:v>
                </c:pt>
                <c:pt idx="4">
                  <c:v>0.11163648658651032</c:v>
                </c:pt>
                <c:pt idx="5">
                  <c:v>8.6812435470093458E-3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杜邦分析指标!$A$12</c:f>
              <c:strCache>
                <c:ptCount val="1"/>
                <c:pt idx="0">
                  <c:v>归属母公司股东净利润占比</c:v>
                </c:pt>
              </c:strCache>
            </c:strRef>
          </c:tx>
          <c:cat>
            <c:numRef>
              <c:f>杜邦分析指标!$B$2:$G$2</c:f>
              <c:numCache>
                <c:formatCode>yyyy\-mm\-dd</c:formatCode>
                <c:ptCount val="6"/>
                <c:pt idx="0">
                  <c:v>42735</c:v>
                </c:pt>
                <c:pt idx="1">
                  <c:v>42825</c:v>
                </c:pt>
                <c:pt idx="2">
                  <c:v>42916</c:v>
                </c:pt>
                <c:pt idx="3">
                  <c:v>43008</c:v>
                </c:pt>
                <c:pt idx="4">
                  <c:v>43100</c:v>
                </c:pt>
                <c:pt idx="5">
                  <c:v>43190</c:v>
                </c:pt>
              </c:numCache>
            </c:numRef>
          </c:cat>
          <c:val>
            <c:numRef>
              <c:f>杜邦分析指标!$B$12:$G$12</c:f>
              <c:numCache>
                <c:formatCode>0.00%;[Red]\-0.00%</c:formatCode>
                <c:ptCount val="6"/>
                <c:pt idx="0">
                  <c:v>1</c:v>
                </c:pt>
                <c:pt idx="1">
                  <c:v>0.98501713975811789</c:v>
                </c:pt>
                <c:pt idx="2">
                  <c:v>1.0001747972514259</c:v>
                </c:pt>
                <c:pt idx="3">
                  <c:v>0.99155129598415392</c:v>
                </c:pt>
                <c:pt idx="4">
                  <c:v>1.0043268116955093</c:v>
                </c:pt>
                <c:pt idx="5">
                  <c:v>1.0336903819759033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5843248"/>
        <c:axId val="-2125842160"/>
      </c:lineChart>
      <c:lineChart>
        <c:grouping val="standard"/>
        <c:varyColors val="0"/>
        <c:ser>
          <c:idx val="2"/>
          <c:order val="2"/>
          <c:tx>
            <c:strRef>
              <c:f>杜邦分析指标!$A$14</c:f>
              <c:strCache>
                <c:ptCount val="1"/>
                <c:pt idx="0">
                  <c:v>净利润</c:v>
                </c:pt>
              </c:strCache>
            </c:strRef>
          </c:tx>
          <c:cat>
            <c:numRef>
              <c:f>杜邦分析指标!$B$2:$G$2</c:f>
              <c:numCache>
                <c:formatCode>yyyy\-mm\-dd</c:formatCode>
                <c:ptCount val="6"/>
                <c:pt idx="0">
                  <c:v>42735</c:v>
                </c:pt>
                <c:pt idx="1">
                  <c:v>42825</c:v>
                </c:pt>
                <c:pt idx="2">
                  <c:v>42916</c:v>
                </c:pt>
                <c:pt idx="3">
                  <c:v>43008</c:v>
                </c:pt>
                <c:pt idx="4">
                  <c:v>43100</c:v>
                </c:pt>
                <c:pt idx="5">
                  <c:v>43190</c:v>
                </c:pt>
              </c:numCache>
            </c:numRef>
          </c:cat>
          <c:val>
            <c:numRef>
              <c:f>杜邦分析指标!$B$14:$G$14</c:f>
              <c:numCache>
                <c:formatCode>#,##0.00_ ;[Red]\-#,##0.00\ </c:formatCode>
                <c:ptCount val="6"/>
                <c:pt idx="0">
                  <c:v>28013.684039999996</c:v>
                </c:pt>
                <c:pt idx="1">
                  <c:v>2126.1358969999997</c:v>
                </c:pt>
                <c:pt idx="2">
                  <c:v>10703.789589</c:v>
                </c:pt>
                <c:pt idx="3">
                  <c:v>17228.940287999998</c:v>
                </c:pt>
                <c:pt idx="4">
                  <c:v>28273.792716000004</c:v>
                </c:pt>
                <c:pt idx="5">
                  <c:v>2295.2406730000002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5841072"/>
        <c:axId val="-2125841616"/>
      </c:lineChart>
      <c:catAx>
        <c:axId val="-21258432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125842160"/>
        <c:crossesAt val="0"/>
        <c:auto val="0"/>
        <c:lblAlgn val="ctr"/>
        <c:lblOffset val="200"/>
        <c:noMultiLvlLbl val="0"/>
      </c:catAx>
      <c:valAx>
        <c:axId val="-2125842160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125843248"/>
        <c:crosses val="autoZero"/>
        <c:crossBetween val="midCat"/>
      </c:valAx>
      <c:valAx>
        <c:axId val="-2125841616"/>
        <c:scaling>
          <c:orientation val="minMax"/>
        </c:scaling>
        <c:delete val="0"/>
        <c:axPos val="r"/>
        <c:numFmt formatCode="#,##0.00_ ;[Red]\-#,##0.00\ " sourceLinked="1"/>
        <c:majorTickMark val="out"/>
        <c:minorTickMark val="none"/>
        <c:tickLblPos val="nextTo"/>
        <c:crossAx val="-2125841072"/>
        <c:crosses val="max"/>
        <c:crossBetween val="between"/>
      </c:valAx>
      <c:dateAx>
        <c:axId val="-212584107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-2125841616"/>
        <c:crosses val="autoZero"/>
        <c:auto val="1"/>
        <c:lblOffset val="100"/>
        <c:baseTimeUnit val="months"/>
      </c:date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5.0653594771241831E-2"/>
          <c:y val="0.83610969888606468"/>
          <c:w val="0.87418300653594772"/>
          <c:h val="0.1428929257858515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 orientation="portrait"/>
  </c:printSettings>
</c:chartSpace>
</file>

<file path=xl/ctrlProps/ctrlProp1.xml><?xml version="1.0" encoding="utf-8"?>
<formControlPr xmlns="http://schemas.microsoft.com/office/spreadsheetml/2009/9/main" objectType="Drop" dropLines="6" dropStyle="combo" dx="22" fmlaLink="F15" fmlaRange="$V$2:$V$7" noThreeD="1" sel="3" val="0"/>
</file>

<file path=xl/ctrlProps/ctrlProp2.xml><?xml version="1.0" encoding="utf-8"?>
<formControlPr xmlns="http://schemas.microsoft.com/office/spreadsheetml/2009/9/main" objectType="Drop" dropLines="16" dropStyle="combo" dx="22" fmlaLink="$F$13" fmlaRange="DateListRange" noThreeD="1" sel="6" val="5"/>
</file>

<file path=xl/ctrlProps/ctrlProp3.xml><?xml version="1.0" encoding="utf-8"?>
<formControlPr xmlns="http://schemas.microsoft.com/office/spreadsheetml/2009/9/main" objectType="Drop" dropLines="16" dropStyle="combo" dx="22" fmlaLink="F14" fmlaRange="DateListRange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checked="Checked" firstButton="1" fmlaLink="$O$2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Drop" dropLines="12" dropStyle="combo" dx="22" fmlaLink="$C$4" fmlaRange="ReportDateRange" noThreeD="1" sel="1" val="0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4</xdr:row>
      <xdr:rowOff>142875</xdr:rowOff>
    </xdr:from>
    <xdr:to>
      <xdr:col>9</xdr:col>
      <xdr:colOff>342900</xdr:colOff>
      <xdr:row>6</xdr:row>
      <xdr:rowOff>257175</xdr:rowOff>
    </xdr:to>
    <xdr:sp macro="" textlink="">
      <xdr:nvSpPr>
        <xdr:cNvPr id="8" name="com_bar"/>
        <xdr:cNvSpPr>
          <a:spLocks noChangeArrowheads="1"/>
        </xdr:cNvSpPr>
      </xdr:nvSpPr>
      <xdr:spPr bwMode="auto">
        <a:xfrm>
          <a:off x="2857500" y="1019175"/>
          <a:ext cx="5219700" cy="552450"/>
        </a:xfrm>
        <a:prstGeom prst="rect">
          <a:avLst/>
        </a:prstGeom>
        <a:solidFill>
          <a:srgbClr val="E8EEFA"/>
        </a:solidFill>
        <a:ln w="3175"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zh-CN" altLang="en-US" sz="2000" b="1" i="0" u="none" strike="noStrike" baseline="0">
              <a:solidFill>
                <a:sysClr val="windowText" lastClr="000000"/>
              </a:solidFill>
              <a:latin typeface="黑体" pitchFamily="2" charset="-122"/>
              <a:ea typeface="黑体" pitchFamily="2" charset="-122"/>
            </a:rPr>
            <a:t>上市公司杜邦分析模板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9525</xdr:rowOff>
        </xdr:from>
        <xdr:to>
          <xdr:col>6</xdr:col>
          <xdr:colOff>9525</xdr:colOff>
          <xdr:row>15</xdr:row>
          <xdr:rowOff>0</xdr:rowOff>
        </xdr:to>
        <xdr:sp macro="" textlink="">
          <xdr:nvSpPr>
            <xdr:cNvPr id="5270" name="StartDD_3" hidden="1">
              <a:extLst>
                <a:ext uri="{63B3BB69-23CF-44E3-9099-C40C66FF867C}">
                  <a14:compatExt spid="_x0000_s5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9525</xdr:colOff>
          <xdr:row>13</xdr:row>
          <xdr:rowOff>9525</xdr:rowOff>
        </xdr:to>
        <xdr:sp macro="" textlink="">
          <xdr:nvSpPr>
            <xdr:cNvPr id="5373" name="Drop Down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9525</xdr:rowOff>
        </xdr:from>
        <xdr:to>
          <xdr:col>6</xdr:col>
          <xdr:colOff>9525</xdr:colOff>
          <xdr:row>14</xdr:row>
          <xdr:rowOff>19050</xdr:rowOff>
        </xdr:to>
        <xdr:sp macro="" textlink="">
          <xdr:nvSpPr>
            <xdr:cNvPr id="5374" name="Drop Down 254" hidden="1">
              <a:extLst>
                <a:ext uri="{63B3BB69-23CF-44E3-9099-C40C66FF867C}">
                  <a14:compatExt spid="_x0000_s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13</xdr:row>
          <xdr:rowOff>85725</xdr:rowOff>
        </xdr:from>
        <xdr:to>
          <xdr:col>11</xdr:col>
          <xdr:colOff>57150</xdr:colOff>
          <xdr:row>14</xdr:row>
          <xdr:rowOff>180975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刷新数据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95251</xdr:colOff>
      <xdr:row>27</xdr:row>
      <xdr:rowOff>171450</xdr:rowOff>
    </xdr:from>
    <xdr:to>
      <xdr:col>9</xdr:col>
      <xdr:colOff>1295401</xdr:colOff>
      <xdr:row>46</xdr:row>
      <xdr:rowOff>0</xdr:rowOff>
    </xdr:to>
    <xdr:graphicFrame macro="">
      <xdr:nvGraphicFramePr>
        <xdr:cNvPr id="3477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57150</xdr:rowOff>
        </xdr:from>
        <xdr:to>
          <xdr:col>3</xdr:col>
          <xdr:colOff>1095375</xdr:colOff>
          <xdr:row>25</xdr:row>
          <xdr:rowOff>295275</xdr:rowOff>
        </xdr:to>
        <xdr:sp macro="" textlink="">
          <xdr:nvSpPr>
            <xdr:cNvPr id="3266" name="Label 194" hidden="1">
              <a:extLst>
                <a:ext uri="{63B3BB69-23CF-44E3-9099-C40C66FF867C}">
                  <a14:compatExt spid="_x0000_s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注：流动负债、非流动负债、流动资产、非流动资产</a:t>
              </a: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</a:t>
              </a: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项不适用于金融类上市公司。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30</xdr:row>
          <xdr:rowOff>57150</xdr:rowOff>
        </xdr:from>
        <xdr:to>
          <xdr:col>1</xdr:col>
          <xdr:colOff>1114425</xdr:colOff>
          <xdr:row>31</xdr:row>
          <xdr:rowOff>161925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32</xdr:row>
          <xdr:rowOff>171450</xdr:rowOff>
        </xdr:from>
        <xdr:to>
          <xdr:col>1</xdr:col>
          <xdr:colOff>1114425</xdr:colOff>
          <xdr:row>34</xdr:row>
          <xdr:rowOff>76200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36</xdr:row>
          <xdr:rowOff>47625</xdr:rowOff>
        </xdr:from>
        <xdr:to>
          <xdr:col>1</xdr:col>
          <xdr:colOff>1123950</xdr:colOff>
          <xdr:row>37</xdr:row>
          <xdr:rowOff>152400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38</xdr:row>
          <xdr:rowOff>190500</xdr:rowOff>
        </xdr:from>
        <xdr:to>
          <xdr:col>1</xdr:col>
          <xdr:colOff>1104900</xdr:colOff>
          <xdr:row>40</xdr:row>
          <xdr:rowOff>95250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31</xdr:row>
          <xdr:rowOff>152400</xdr:rowOff>
        </xdr:from>
        <xdr:to>
          <xdr:col>3</xdr:col>
          <xdr:colOff>971550</xdr:colOff>
          <xdr:row>33</xdr:row>
          <xdr:rowOff>28575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绘图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495300</xdr:colOff>
      <xdr:row>1</xdr:row>
      <xdr:rowOff>171450</xdr:rowOff>
    </xdr:from>
    <xdr:to>
      <xdr:col>9</xdr:col>
      <xdr:colOff>190499</xdr:colOff>
      <xdr:row>4</xdr:row>
      <xdr:rowOff>9525</xdr:rowOff>
    </xdr:to>
    <xdr:sp macro="" textlink="">
      <xdr:nvSpPr>
        <xdr:cNvPr id="5" name="矩形 4"/>
        <xdr:cNvSpPr/>
      </xdr:nvSpPr>
      <xdr:spPr>
        <a:xfrm>
          <a:off x="6096000" y="419100"/>
          <a:ext cx="1066799" cy="523875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净资产收益率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11.21%/8.41%</a:t>
          </a:r>
        </a:p>
      </xdr:txBody>
    </xdr:sp>
    <xdr:clientData/>
  </xdr:twoCellAnchor>
  <xdr:twoCellAnchor editAs="oneCell">
    <xdr:from>
      <xdr:col>7</xdr:col>
      <xdr:colOff>495300</xdr:colOff>
      <xdr:row>5</xdr:row>
      <xdr:rowOff>171450</xdr:rowOff>
    </xdr:from>
    <xdr:to>
      <xdr:col>9</xdr:col>
      <xdr:colOff>190501</xdr:colOff>
      <xdr:row>8</xdr:row>
      <xdr:rowOff>66675</xdr:rowOff>
    </xdr:to>
    <xdr:sp macro="" textlink="">
      <xdr:nvSpPr>
        <xdr:cNvPr id="18" name="矩形 17"/>
        <xdr:cNvSpPr/>
      </xdr:nvSpPr>
      <xdr:spPr>
        <a:xfrm>
          <a:off x="5429250" y="1181100"/>
          <a:ext cx="914401" cy="600075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资产净利率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6.55%/4.98%</a:t>
          </a:r>
        </a:p>
      </xdr:txBody>
    </xdr:sp>
    <xdr:clientData/>
  </xdr:twoCellAnchor>
  <xdr:twoCellAnchor editAs="oneCell">
    <xdr:from>
      <xdr:col>13</xdr:col>
      <xdr:colOff>66675</xdr:colOff>
      <xdr:row>5</xdr:row>
      <xdr:rowOff>142876</xdr:rowOff>
    </xdr:from>
    <xdr:to>
      <xdr:col>14</xdr:col>
      <xdr:colOff>371475</xdr:colOff>
      <xdr:row>8</xdr:row>
      <xdr:rowOff>57151</xdr:rowOff>
    </xdr:to>
    <xdr:sp macro="" textlink="">
      <xdr:nvSpPr>
        <xdr:cNvPr id="19" name="矩形 18"/>
        <xdr:cNvSpPr/>
      </xdr:nvSpPr>
      <xdr:spPr>
        <a:xfrm>
          <a:off x="8658225" y="1152526"/>
          <a:ext cx="914400" cy="609600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权益乘数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1.84/1.57</a:t>
          </a:r>
        </a:p>
      </xdr:txBody>
    </xdr:sp>
    <xdr:clientData/>
  </xdr:twoCellAnchor>
  <xdr:twoCellAnchor editAs="oneCell">
    <xdr:from>
      <xdr:col>6</xdr:col>
      <xdr:colOff>95250</xdr:colOff>
      <xdr:row>10</xdr:row>
      <xdr:rowOff>114300</xdr:rowOff>
    </xdr:from>
    <xdr:to>
      <xdr:col>7</xdr:col>
      <xdr:colOff>400050</xdr:colOff>
      <xdr:row>13</xdr:row>
      <xdr:rowOff>85726</xdr:rowOff>
    </xdr:to>
    <xdr:sp macro="" textlink="">
      <xdr:nvSpPr>
        <xdr:cNvPr id="6" name="矩形 5"/>
        <xdr:cNvSpPr/>
      </xdr:nvSpPr>
      <xdr:spPr>
        <a:xfrm>
          <a:off x="5010150" y="2000250"/>
          <a:ext cx="990600" cy="600076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销售净利率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18.86%/
14.31%</a:t>
          </a:r>
        </a:p>
      </xdr:txBody>
    </xdr:sp>
    <xdr:clientData/>
  </xdr:twoCellAnchor>
  <xdr:twoCellAnchor editAs="oneCell">
    <xdr:from>
      <xdr:col>8</xdr:col>
      <xdr:colOff>476250</xdr:colOff>
      <xdr:row>10</xdr:row>
      <xdr:rowOff>123825</xdr:rowOff>
    </xdr:from>
    <xdr:to>
      <xdr:col>10</xdr:col>
      <xdr:colOff>171450</xdr:colOff>
      <xdr:row>13</xdr:row>
      <xdr:rowOff>85726</xdr:rowOff>
    </xdr:to>
    <xdr:sp macro="" textlink="">
      <xdr:nvSpPr>
        <xdr:cNvPr id="7" name="矩形 6"/>
        <xdr:cNvSpPr/>
      </xdr:nvSpPr>
      <xdr:spPr>
        <a:xfrm>
          <a:off x="6762750" y="2009775"/>
          <a:ext cx="1066800" cy="590551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资产周转率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0.35/0.35</a:t>
          </a:r>
        </a:p>
      </xdr:txBody>
    </xdr:sp>
    <xdr:clientData/>
  </xdr:twoCellAnchor>
  <xdr:twoCellAnchor editAs="oneCell">
    <xdr:from>
      <xdr:col>13</xdr:col>
      <xdr:colOff>66675</xdr:colOff>
      <xdr:row>10</xdr:row>
      <xdr:rowOff>123825</xdr:rowOff>
    </xdr:from>
    <xdr:to>
      <xdr:col>14</xdr:col>
      <xdr:colOff>371476</xdr:colOff>
      <xdr:row>13</xdr:row>
      <xdr:rowOff>85726</xdr:rowOff>
    </xdr:to>
    <xdr:sp macro="" textlink="">
      <xdr:nvSpPr>
        <xdr:cNvPr id="8" name="矩形 7"/>
        <xdr:cNvSpPr/>
      </xdr:nvSpPr>
      <xdr:spPr>
        <a:xfrm>
          <a:off x="8658225" y="2085975"/>
          <a:ext cx="914401" cy="666751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资产负债率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39.86%/
28.68%</a:t>
          </a:r>
        </a:p>
      </xdr:txBody>
    </xdr:sp>
    <xdr:clientData/>
  </xdr:twoCellAnchor>
  <xdr:twoCellAnchor editAs="oneCell">
    <xdr:from>
      <xdr:col>6</xdr:col>
      <xdr:colOff>552450</xdr:colOff>
      <xdr:row>16</xdr:row>
      <xdr:rowOff>123825</xdr:rowOff>
    </xdr:from>
    <xdr:to>
      <xdr:col>8</xdr:col>
      <xdr:colOff>361950</xdr:colOff>
      <xdr:row>19</xdr:row>
      <xdr:rowOff>59266</xdr:rowOff>
    </xdr:to>
    <xdr:sp macro="" textlink="">
      <xdr:nvSpPr>
        <xdr:cNvPr id="10" name="矩形 9"/>
        <xdr:cNvSpPr/>
      </xdr:nvSpPr>
      <xdr:spPr>
        <a:xfrm>
          <a:off x="4876800" y="3228975"/>
          <a:ext cx="1028700" cy="628649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销售收入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165,057.80/
133,742.21</a:t>
          </a:r>
        </a:p>
      </xdr:txBody>
    </xdr:sp>
    <xdr:clientData/>
  </xdr:twoCellAnchor>
  <xdr:twoCellAnchor editAs="oneCell">
    <xdr:from>
      <xdr:col>4</xdr:col>
      <xdr:colOff>228600</xdr:colOff>
      <xdr:row>16</xdr:row>
      <xdr:rowOff>123825</xdr:rowOff>
    </xdr:from>
    <xdr:to>
      <xdr:col>6</xdr:col>
      <xdr:colOff>47625</xdr:colOff>
      <xdr:row>19</xdr:row>
      <xdr:rowOff>28575</xdr:rowOff>
    </xdr:to>
    <xdr:sp macro="" textlink="">
      <xdr:nvSpPr>
        <xdr:cNvPr id="11" name="矩形 10"/>
        <xdr:cNvSpPr/>
      </xdr:nvSpPr>
      <xdr:spPr>
        <a:xfrm>
          <a:off x="3333750" y="3228975"/>
          <a:ext cx="1038225" cy="590550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净利润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31,124.46/
19,136.50</a:t>
          </a:r>
        </a:p>
      </xdr:txBody>
    </xdr:sp>
    <xdr:clientData/>
  </xdr:twoCellAnchor>
  <xdr:twoCellAnchor editAs="oneCell">
    <xdr:from>
      <xdr:col>1</xdr:col>
      <xdr:colOff>751423</xdr:colOff>
      <xdr:row>22</xdr:row>
      <xdr:rowOff>35298</xdr:rowOff>
    </xdr:from>
    <xdr:to>
      <xdr:col>3</xdr:col>
      <xdr:colOff>157698</xdr:colOff>
      <xdr:row>24</xdr:row>
      <xdr:rowOff>184336</xdr:rowOff>
    </xdr:to>
    <xdr:sp macro="" textlink="">
      <xdr:nvSpPr>
        <xdr:cNvPr id="12" name="矩形 11"/>
        <xdr:cNvSpPr/>
      </xdr:nvSpPr>
      <xdr:spPr>
        <a:xfrm>
          <a:off x="1428756" y="3929965"/>
          <a:ext cx="1343025" cy="561788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销售收入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165,057.80/
133,742.21</a:t>
          </a:r>
        </a:p>
      </xdr:txBody>
    </xdr:sp>
    <xdr:clientData/>
  </xdr:twoCellAnchor>
  <xdr:twoCellAnchor editAs="oneCell">
    <xdr:from>
      <xdr:col>3</xdr:col>
      <xdr:colOff>581025</xdr:colOff>
      <xdr:row>22</xdr:row>
      <xdr:rowOff>28575</xdr:rowOff>
    </xdr:from>
    <xdr:to>
      <xdr:col>5</xdr:col>
      <xdr:colOff>371474</xdr:colOff>
      <xdr:row>24</xdr:row>
      <xdr:rowOff>161925</xdr:rowOff>
    </xdr:to>
    <xdr:sp macro="" textlink="">
      <xdr:nvSpPr>
        <xdr:cNvPr id="13" name="矩形 12"/>
        <xdr:cNvSpPr/>
      </xdr:nvSpPr>
      <xdr:spPr>
        <a:xfrm>
          <a:off x="3076575" y="4276725"/>
          <a:ext cx="1009649" cy="609600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成本费用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171,616.42/
135,686.10</a:t>
          </a:r>
        </a:p>
      </xdr:txBody>
    </xdr:sp>
    <xdr:clientData/>
  </xdr:twoCellAnchor>
  <xdr:twoCellAnchor editAs="oneCell">
    <xdr:from>
      <xdr:col>8</xdr:col>
      <xdr:colOff>276225</xdr:colOff>
      <xdr:row>22</xdr:row>
      <xdr:rowOff>28575</xdr:rowOff>
    </xdr:from>
    <xdr:to>
      <xdr:col>10</xdr:col>
      <xdr:colOff>47625</xdr:colOff>
      <xdr:row>24</xdr:row>
      <xdr:rowOff>190500</xdr:rowOff>
    </xdr:to>
    <xdr:sp macro="" textlink="">
      <xdr:nvSpPr>
        <xdr:cNvPr id="14" name="矩形 13"/>
        <xdr:cNvSpPr/>
      </xdr:nvSpPr>
      <xdr:spPr>
        <a:xfrm>
          <a:off x="5819775" y="4276725"/>
          <a:ext cx="990600" cy="638175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  <a:cs typeface="+mn-cs"/>
            </a:rPr>
            <a:t>所得税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  <a:cs typeface="+mn-cs"/>
            </a:rPr>
            <a:t>2,436.30/
-850.88</a:t>
          </a:r>
        </a:p>
      </xdr:txBody>
    </xdr:sp>
    <xdr:clientData/>
  </xdr:twoCellAnchor>
  <xdr:twoCellAnchor editAs="oneCell">
    <xdr:from>
      <xdr:col>6</xdr:col>
      <xdr:colOff>161923</xdr:colOff>
      <xdr:row>22</xdr:row>
      <xdr:rowOff>28575</xdr:rowOff>
    </xdr:from>
    <xdr:to>
      <xdr:col>7</xdr:col>
      <xdr:colOff>495301</xdr:colOff>
      <xdr:row>24</xdr:row>
      <xdr:rowOff>161925</xdr:rowOff>
    </xdr:to>
    <xdr:sp macro="" textlink="">
      <xdr:nvSpPr>
        <xdr:cNvPr id="15" name="矩形 14"/>
        <xdr:cNvSpPr/>
      </xdr:nvSpPr>
      <xdr:spPr>
        <a:xfrm>
          <a:off x="5076823" y="3971925"/>
          <a:ext cx="1019178" cy="552450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其他利润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40,119.38/
20,229.50</a:t>
          </a:r>
        </a:p>
      </xdr:txBody>
    </xdr:sp>
    <xdr:clientData/>
  </xdr:twoCellAnchor>
  <xdr:twoCellAnchor editAs="oneCell">
    <xdr:from>
      <xdr:col>9</xdr:col>
      <xdr:colOff>180974</xdr:colOff>
      <xdr:row>16</xdr:row>
      <xdr:rowOff>114300</xdr:rowOff>
    </xdr:from>
    <xdr:to>
      <xdr:col>11</xdr:col>
      <xdr:colOff>76199</xdr:colOff>
      <xdr:row>19</xdr:row>
      <xdr:rowOff>59266</xdr:rowOff>
    </xdr:to>
    <xdr:sp macro="" textlink="">
      <xdr:nvSpPr>
        <xdr:cNvPr id="17" name="矩形 16"/>
        <xdr:cNvSpPr/>
      </xdr:nvSpPr>
      <xdr:spPr>
        <a:xfrm>
          <a:off x="6334124" y="3219450"/>
          <a:ext cx="1114425" cy="647699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平均资产总额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475,471.90/
198,764.02</a:t>
          </a:r>
        </a:p>
      </xdr:txBody>
    </xdr:sp>
    <xdr:clientData/>
  </xdr:twoCellAnchor>
  <xdr:twoCellAnchor editAs="oneCell">
    <xdr:from>
      <xdr:col>11</xdr:col>
      <xdr:colOff>422271</xdr:colOff>
      <xdr:row>16</xdr:row>
      <xdr:rowOff>114300</xdr:rowOff>
    </xdr:from>
    <xdr:to>
      <xdr:col>13</xdr:col>
      <xdr:colOff>431796</xdr:colOff>
      <xdr:row>19</xdr:row>
      <xdr:rowOff>85725</xdr:rowOff>
    </xdr:to>
    <xdr:sp macro="" textlink="">
      <xdr:nvSpPr>
        <xdr:cNvPr id="20" name="矩形 19"/>
        <xdr:cNvSpPr/>
      </xdr:nvSpPr>
      <xdr:spPr>
        <a:xfrm>
          <a:off x="8539688" y="2992967"/>
          <a:ext cx="1385358" cy="591608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负债总额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197,744.95/
106,550.22</a:t>
          </a:r>
        </a:p>
      </xdr:txBody>
    </xdr:sp>
    <xdr:clientData/>
  </xdr:twoCellAnchor>
  <xdr:twoCellAnchor editAs="oneCell">
    <xdr:from>
      <xdr:col>14</xdr:col>
      <xdr:colOff>530232</xdr:colOff>
      <xdr:row>16</xdr:row>
      <xdr:rowOff>95250</xdr:rowOff>
    </xdr:from>
    <xdr:to>
      <xdr:col>16</xdr:col>
      <xdr:colOff>289989</xdr:colOff>
      <xdr:row>19</xdr:row>
      <xdr:rowOff>47624</xdr:rowOff>
    </xdr:to>
    <xdr:sp macro="" textlink="">
      <xdr:nvSpPr>
        <xdr:cNvPr id="21" name="矩形 20"/>
        <xdr:cNvSpPr/>
      </xdr:nvSpPr>
      <xdr:spPr>
        <a:xfrm>
          <a:off x="10711399" y="2973917"/>
          <a:ext cx="1135590" cy="574674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资产总额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496,096.04/
371,576.77</a:t>
          </a:r>
        </a:p>
      </xdr:txBody>
    </xdr:sp>
    <xdr:clientData/>
  </xdr:twoCellAnchor>
  <xdr:twoCellAnchor editAs="oneCell">
    <xdr:from>
      <xdr:col>10</xdr:col>
      <xdr:colOff>171450</xdr:colOff>
      <xdr:row>22</xdr:row>
      <xdr:rowOff>19050</xdr:rowOff>
    </xdr:from>
    <xdr:to>
      <xdr:col>11</xdr:col>
      <xdr:colOff>613833</xdr:colOff>
      <xdr:row>24</xdr:row>
      <xdr:rowOff>190500</xdr:rowOff>
    </xdr:to>
    <xdr:sp macro="" textlink="">
      <xdr:nvSpPr>
        <xdr:cNvPr id="23" name="矩形 22"/>
        <xdr:cNvSpPr/>
      </xdr:nvSpPr>
      <xdr:spPr>
        <a:xfrm>
          <a:off x="7600950" y="3913717"/>
          <a:ext cx="1130300" cy="584200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  <a:cs typeface="+mn-cs"/>
            </a:rPr>
            <a:t>流动负债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  <a:cs typeface="+mn-cs"/>
            </a:rPr>
            <a:t>188,659.44/
94,131.46</a:t>
          </a:r>
        </a:p>
      </xdr:txBody>
    </xdr:sp>
    <xdr:clientData/>
  </xdr:twoCellAnchor>
  <xdr:twoCellAnchor editAs="oneCell">
    <xdr:from>
      <xdr:col>12</xdr:col>
      <xdr:colOff>325969</xdr:colOff>
      <xdr:row>22</xdr:row>
      <xdr:rowOff>9525</xdr:rowOff>
    </xdr:from>
    <xdr:to>
      <xdr:col>14</xdr:col>
      <xdr:colOff>78319</xdr:colOff>
      <xdr:row>25</xdr:row>
      <xdr:rowOff>0</xdr:rowOff>
    </xdr:to>
    <xdr:sp macro="" textlink="">
      <xdr:nvSpPr>
        <xdr:cNvPr id="24" name="矩形 23"/>
        <xdr:cNvSpPr/>
      </xdr:nvSpPr>
      <xdr:spPr>
        <a:xfrm>
          <a:off x="9131302" y="3904192"/>
          <a:ext cx="1128184" cy="612775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  <a:cs typeface="+mn-cs"/>
            </a:rPr>
            <a:t>非流动负债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  <a:cs typeface="+mn-cs"/>
            </a:rPr>
            <a:t>9,085.51/
12,418.76</a:t>
          </a:r>
        </a:p>
      </xdr:txBody>
    </xdr:sp>
    <xdr:clientData/>
  </xdr:twoCellAnchor>
  <xdr:twoCellAnchor editAs="oneCell">
    <xdr:from>
      <xdr:col>16</xdr:col>
      <xdr:colOff>303746</xdr:colOff>
      <xdr:row>22</xdr:row>
      <xdr:rowOff>0</xdr:rowOff>
    </xdr:from>
    <xdr:to>
      <xdr:col>17</xdr:col>
      <xdr:colOff>629714</xdr:colOff>
      <xdr:row>24</xdr:row>
      <xdr:rowOff>190500</xdr:rowOff>
    </xdr:to>
    <xdr:sp macro="" textlink="">
      <xdr:nvSpPr>
        <xdr:cNvPr id="25" name="矩形 24"/>
        <xdr:cNvSpPr/>
      </xdr:nvSpPr>
      <xdr:spPr>
        <a:xfrm>
          <a:off x="11860746" y="3894667"/>
          <a:ext cx="1013885" cy="603250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非流动资产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</a:rPr>
            <a:t>275,011.04/
210,210.07</a:t>
          </a:r>
        </a:p>
      </xdr:txBody>
    </xdr:sp>
    <xdr:clientData/>
  </xdr:twoCellAnchor>
  <xdr:twoCellAnchor editAs="oneCell">
    <xdr:from>
      <xdr:col>14</xdr:col>
      <xdr:colOff>195858</xdr:colOff>
      <xdr:row>22</xdr:row>
      <xdr:rowOff>9525</xdr:rowOff>
    </xdr:from>
    <xdr:to>
      <xdr:col>15</xdr:col>
      <xdr:colOff>570381</xdr:colOff>
      <xdr:row>24</xdr:row>
      <xdr:rowOff>200025</xdr:rowOff>
    </xdr:to>
    <xdr:sp macro="" textlink="">
      <xdr:nvSpPr>
        <xdr:cNvPr id="26" name="矩形 25"/>
        <xdr:cNvSpPr/>
      </xdr:nvSpPr>
      <xdr:spPr>
        <a:xfrm>
          <a:off x="10377025" y="3904192"/>
          <a:ext cx="1062439" cy="603250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 rtl="0">
            <a:lnSpc>
              <a:spcPts val="11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+mn-lt"/>
              <a:ea typeface="宋体"/>
              <a:cs typeface="+mn-cs"/>
            </a:rPr>
            <a:t>流动资产
</a:t>
          </a:r>
          <a:r>
            <a:rPr lang="en-US" altLang="zh-CN" sz="900" b="0" i="0" u="none" strike="noStrike" baseline="0">
              <a:solidFill>
                <a:srgbClr val="000000"/>
              </a:solidFill>
              <a:latin typeface="+mn-lt"/>
              <a:ea typeface="宋体"/>
              <a:cs typeface="+mn-cs"/>
            </a:rPr>
            <a:t>221,085.00/
161,366.69</a:t>
          </a:r>
        </a:p>
      </xdr:txBody>
    </xdr:sp>
    <xdr:clientData/>
  </xdr:twoCellAnchor>
  <xdr:twoCellAnchor editAs="oneCell">
    <xdr:from>
      <xdr:col>11</xdr:col>
      <xdr:colOff>504825</xdr:colOff>
      <xdr:row>11</xdr:row>
      <xdr:rowOff>104775</xdr:rowOff>
    </xdr:from>
    <xdr:to>
      <xdr:col>13</xdr:col>
      <xdr:colOff>57150</xdr:colOff>
      <xdr:row>12</xdr:row>
      <xdr:rowOff>200026</xdr:rowOff>
    </xdr:to>
    <xdr:sp macro="" textlink="">
      <xdr:nvSpPr>
        <xdr:cNvPr id="30" name="矩形 29"/>
        <xdr:cNvSpPr/>
      </xdr:nvSpPr>
      <xdr:spPr>
        <a:xfrm>
          <a:off x="7877175" y="2257425"/>
          <a:ext cx="771525" cy="342901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900">
              <a:latin typeface="+mn-lt"/>
            </a:rPr>
            <a:t>1÷</a:t>
          </a:r>
          <a:r>
            <a:rPr lang="zh-CN" altLang="en-US" sz="900">
              <a:latin typeface="+mn-lt"/>
            </a:rPr>
            <a:t>（</a:t>
          </a:r>
          <a:r>
            <a:rPr lang="en-US" altLang="zh-CN" sz="900">
              <a:latin typeface="+mn-lt"/>
            </a:rPr>
            <a:t>1-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11</xdr:col>
      <xdr:colOff>85725</xdr:colOff>
      <xdr:row>6</xdr:row>
      <xdr:rowOff>95250</xdr:rowOff>
    </xdr:from>
    <xdr:to>
      <xdr:col>11</xdr:col>
      <xdr:colOff>352424</xdr:colOff>
      <xdr:row>7</xdr:row>
      <xdr:rowOff>142876</xdr:rowOff>
    </xdr:to>
    <xdr:sp macro="" textlink="">
      <xdr:nvSpPr>
        <xdr:cNvPr id="31" name="矩形 30"/>
        <xdr:cNvSpPr/>
      </xdr:nvSpPr>
      <xdr:spPr>
        <a:xfrm>
          <a:off x="7458075" y="1295400"/>
          <a:ext cx="266699" cy="295276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900">
              <a:latin typeface="+mn-lt"/>
            </a:rPr>
            <a:t>×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7</xdr:col>
      <xdr:colOff>523875</xdr:colOff>
      <xdr:row>11</xdr:row>
      <xdr:rowOff>133350</xdr:rowOff>
    </xdr:from>
    <xdr:to>
      <xdr:col>8</xdr:col>
      <xdr:colOff>171450</xdr:colOff>
      <xdr:row>12</xdr:row>
      <xdr:rowOff>180976</xdr:rowOff>
    </xdr:to>
    <xdr:sp macro="" textlink="">
      <xdr:nvSpPr>
        <xdr:cNvPr id="44" name="矩形 43"/>
        <xdr:cNvSpPr/>
      </xdr:nvSpPr>
      <xdr:spPr>
        <a:xfrm>
          <a:off x="5457825" y="2286000"/>
          <a:ext cx="257175" cy="295276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900">
              <a:latin typeface="+mn-lt"/>
            </a:rPr>
            <a:t>×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14</xdr:col>
      <xdr:colOff>381000</xdr:colOff>
      <xdr:row>11</xdr:row>
      <xdr:rowOff>104775</xdr:rowOff>
    </xdr:from>
    <xdr:to>
      <xdr:col>15</xdr:col>
      <xdr:colOff>38100</xdr:colOff>
      <xdr:row>13</xdr:row>
      <xdr:rowOff>9526</xdr:rowOff>
    </xdr:to>
    <xdr:sp macro="" textlink="">
      <xdr:nvSpPr>
        <xdr:cNvPr id="45" name="矩形 44"/>
        <xdr:cNvSpPr/>
      </xdr:nvSpPr>
      <xdr:spPr>
        <a:xfrm>
          <a:off x="9582150" y="2257425"/>
          <a:ext cx="266700" cy="361951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>
              <a:latin typeface="+mn-lt"/>
            </a:rPr>
            <a:t>）</a:t>
          </a:r>
        </a:p>
      </xdr:txBody>
    </xdr:sp>
    <xdr:clientData/>
  </xdr:twoCellAnchor>
  <xdr:twoCellAnchor editAs="oneCell">
    <xdr:from>
      <xdr:col>6</xdr:col>
      <xdr:colOff>161925</xdr:colOff>
      <xdr:row>17</xdr:row>
      <xdr:rowOff>66675</xdr:rowOff>
    </xdr:from>
    <xdr:to>
      <xdr:col>6</xdr:col>
      <xdr:colOff>428625</xdr:colOff>
      <xdr:row>18</xdr:row>
      <xdr:rowOff>133350</xdr:rowOff>
    </xdr:to>
    <xdr:sp macro="" textlink="">
      <xdr:nvSpPr>
        <xdr:cNvPr id="46" name="矩形 45"/>
        <xdr:cNvSpPr/>
      </xdr:nvSpPr>
      <xdr:spPr>
        <a:xfrm>
          <a:off x="4486275" y="3362325"/>
          <a:ext cx="266700" cy="295275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900">
              <a:latin typeface="+mn-lt"/>
            </a:rPr>
            <a:t>÷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8</xdr:col>
      <xdr:colOff>438150</xdr:colOff>
      <xdr:row>17</xdr:row>
      <xdr:rowOff>57150</xdr:rowOff>
    </xdr:from>
    <xdr:to>
      <xdr:col>9</xdr:col>
      <xdr:colOff>95251</xdr:colOff>
      <xdr:row>18</xdr:row>
      <xdr:rowOff>123825</xdr:rowOff>
    </xdr:to>
    <xdr:sp macro="" textlink="">
      <xdr:nvSpPr>
        <xdr:cNvPr id="47" name="矩形 46"/>
        <xdr:cNvSpPr/>
      </xdr:nvSpPr>
      <xdr:spPr>
        <a:xfrm>
          <a:off x="5981700" y="3352800"/>
          <a:ext cx="266701" cy="295275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900">
              <a:latin typeface="+mn-lt"/>
            </a:rPr>
            <a:t>÷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14</xdr:col>
      <xdr:colOff>66675</xdr:colOff>
      <xdr:row>17</xdr:row>
      <xdr:rowOff>95250</xdr:rowOff>
    </xdr:from>
    <xdr:to>
      <xdr:col>14</xdr:col>
      <xdr:colOff>333375</xdr:colOff>
      <xdr:row>18</xdr:row>
      <xdr:rowOff>139513</xdr:rowOff>
    </xdr:to>
    <xdr:sp macro="" textlink="">
      <xdr:nvSpPr>
        <xdr:cNvPr id="48" name="矩形 47"/>
        <xdr:cNvSpPr/>
      </xdr:nvSpPr>
      <xdr:spPr>
        <a:xfrm>
          <a:off x="9267825" y="3390900"/>
          <a:ext cx="266700" cy="291913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900">
              <a:latin typeface="+mn-lt"/>
            </a:rPr>
            <a:t>÷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3</xdr:col>
      <xdr:colOff>238125</xdr:colOff>
      <xdr:row>22</xdr:row>
      <xdr:rowOff>180975</xdr:rowOff>
    </xdr:from>
    <xdr:to>
      <xdr:col>3</xdr:col>
      <xdr:colOff>495300</xdr:colOff>
      <xdr:row>24</xdr:row>
      <xdr:rowOff>38100</xdr:rowOff>
    </xdr:to>
    <xdr:sp macro="" textlink="">
      <xdr:nvSpPr>
        <xdr:cNvPr id="49" name="矩形 48"/>
        <xdr:cNvSpPr/>
      </xdr:nvSpPr>
      <xdr:spPr>
        <a:xfrm>
          <a:off x="2733675" y="4429125"/>
          <a:ext cx="257175" cy="304800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900">
              <a:latin typeface="+mn-lt"/>
            </a:rPr>
            <a:t>-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5</xdr:col>
      <xdr:colOff>428625</xdr:colOff>
      <xdr:row>22</xdr:row>
      <xdr:rowOff>180975</xdr:rowOff>
    </xdr:from>
    <xdr:to>
      <xdr:col>6</xdr:col>
      <xdr:colOff>76200</xdr:colOff>
      <xdr:row>24</xdr:row>
      <xdr:rowOff>28575</xdr:rowOff>
    </xdr:to>
    <xdr:sp macro="" textlink="">
      <xdr:nvSpPr>
        <xdr:cNvPr id="50" name="矩形 49"/>
        <xdr:cNvSpPr/>
      </xdr:nvSpPr>
      <xdr:spPr>
        <a:xfrm>
          <a:off x="4143375" y="4429125"/>
          <a:ext cx="257175" cy="295275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900">
              <a:latin typeface="+mn-lt"/>
            </a:rPr>
            <a:t>+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7</xdr:col>
      <xdr:colOff>561975</xdr:colOff>
      <xdr:row>23</xdr:row>
      <xdr:rowOff>0</xdr:rowOff>
    </xdr:from>
    <xdr:to>
      <xdr:col>8</xdr:col>
      <xdr:colOff>219075</xdr:colOff>
      <xdr:row>24</xdr:row>
      <xdr:rowOff>66675</xdr:rowOff>
    </xdr:to>
    <xdr:sp macro="" textlink="">
      <xdr:nvSpPr>
        <xdr:cNvPr id="51" name="矩形 50"/>
        <xdr:cNvSpPr/>
      </xdr:nvSpPr>
      <xdr:spPr>
        <a:xfrm>
          <a:off x="5495925" y="4438650"/>
          <a:ext cx="266700" cy="295275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900">
              <a:latin typeface="+mn-lt"/>
            </a:rPr>
            <a:t>-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15</xdr:col>
      <xdr:colOff>648762</xdr:colOff>
      <xdr:row>23</xdr:row>
      <xdr:rowOff>0</xdr:rowOff>
    </xdr:from>
    <xdr:to>
      <xdr:col>16</xdr:col>
      <xdr:colOff>243420</xdr:colOff>
      <xdr:row>24</xdr:row>
      <xdr:rowOff>66675</xdr:rowOff>
    </xdr:to>
    <xdr:sp macro="" textlink="">
      <xdr:nvSpPr>
        <xdr:cNvPr id="52" name="矩形 51"/>
        <xdr:cNvSpPr/>
      </xdr:nvSpPr>
      <xdr:spPr>
        <a:xfrm>
          <a:off x="11517845" y="4064000"/>
          <a:ext cx="282575" cy="274108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900">
              <a:latin typeface="+mn-lt"/>
            </a:rPr>
            <a:t>+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12</xdr:col>
      <xdr:colOff>1061</xdr:colOff>
      <xdr:row>23</xdr:row>
      <xdr:rowOff>19050</xdr:rowOff>
    </xdr:from>
    <xdr:to>
      <xdr:col>12</xdr:col>
      <xdr:colOff>267761</xdr:colOff>
      <xdr:row>24</xdr:row>
      <xdr:rowOff>85725</xdr:rowOff>
    </xdr:to>
    <xdr:sp macro="" textlink="">
      <xdr:nvSpPr>
        <xdr:cNvPr id="53" name="矩形 52"/>
        <xdr:cNvSpPr/>
      </xdr:nvSpPr>
      <xdr:spPr>
        <a:xfrm>
          <a:off x="8806394" y="4083050"/>
          <a:ext cx="266700" cy="274108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900">
              <a:latin typeface="+mn-lt"/>
            </a:rPr>
            <a:t>+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13</xdr:col>
      <xdr:colOff>561974</xdr:colOff>
      <xdr:row>8</xdr:row>
      <xdr:rowOff>57151</xdr:rowOff>
    </xdr:from>
    <xdr:to>
      <xdr:col>13</xdr:col>
      <xdr:colOff>561975</xdr:colOff>
      <xdr:row>10</xdr:row>
      <xdr:rowOff>123825</xdr:rowOff>
    </xdr:to>
    <xdr:cxnSp macro="">
      <xdr:nvCxnSpPr>
        <xdr:cNvPr id="33" name="肘形连接符 32"/>
        <xdr:cNvCxnSpPr>
          <a:stCxn id="19" idx="2"/>
          <a:endCxn id="8" idx="0"/>
        </xdr:cNvCxnSpPr>
      </xdr:nvCxnSpPr>
      <xdr:spPr>
        <a:xfrm rot="16200000" flipH="1">
          <a:off x="9786938" y="2071687"/>
          <a:ext cx="485774" cy="1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590550</xdr:colOff>
      <xdr:row>13</xdr:row>
      <xdr:rowOff>85726</xdr:rowOff>
    </xdr:from>
    <xdr:to>
      <xdr:col>7</xdr:col>
      <xdr:colOff>295278</xdr:colOff>
      <xdr:row>16</xdr:row>
      <xdr:rowOff>47628</xdr:rowOff>
    </xdr:to>
    <xdr:cxnSp macro="">
      <xdr:nvCxnSpPr>
        <xdr:cNvPr id="4107" name="肘形连接符 4106"/>
        <xdr:cNvCxnSpPr>
          <a:stCxn id="6" idx="2"/>
        </xdr:cNvCxnSpPr>
      </xdr:nvCxnSpPr>
      <xdr:spPr>
        <a:xfrm rot="16200000" flipH="1">
          <a:off x="5157788" y="3005138"/>
          <a:ext cx="590552" cy="390528"/>
        </a:xfrm>
        <a:prstGeom prst="bentConnector3">
          <a:avLst>
            <a:gd name="adj1" fmla="val 69355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138114</xdr:colOff>
      <xdr:row>15</xdr:row>
      <xdr:rowOff>66675</xdr:rowOff>
    </xdr:from>
    <xdr:to>
      <xdr:col>6</xdr:col>
      <xdr:colOff>571501</xdr:colOff>
      <xdr:row>16</xdr:row>
      <xdr:rowOff>85725</xdr:rowOff>
    </xdr:to>
    <xdr:cxnSp macro="">
      <xdr:nvCxnSpPr>
        <xdr:cNvPr id="4110" name="肘形连接符 4109"/>
        <xdr:cNvCxnSpPr>
          <a:endCxn id="11" idx="0"/>
        </xdr:cNvCxnSpPr>
      </xdr:nvCxnSpPr>
      <xdr:spPr>
        <a:xfrm rot="10800000" flipV="1">
          <a:off x="3852864" y="2981325"/>
          <a:ext cx="1042987" cy="24765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323849</xdr:colOff>
      <xdr:row>13</xdr:row>
      <xdr:rowOff>85726</xdr:rowOff>
    </xdr:from>
    <xdr:to>
      <xdr:col>10</xdr:col>
      <xdr:colOff>128586</xdr:colOff>
      <xdr:row>16</xdr:row>
      <xdr:rowOff>114300</xdr:rowOff>
    </xdr:to>
    <xdr:cxnSp macro="">
      <xdr:nvCxnSpPr>
        <xdr:cNvPr id="4125" name="肘形连接符 4124"/>
        <xdr:cNvCxnSpPr>
          <a:stCxn id="7" idx="2"/>
          <a:endCxn id="17" idx="0"/>
        </xdr:cNvCxnSpPr>
      </xdr:nvCxnSpPr>
      <xdr:spPr>
        <a:xfrm rot="16200000" flipH="1">
          <a:off x="6965156" y="2988469"/>
          <a:ext cx="657224" cy="490537"/>
        </a:xfrm>
        <a:prstGeom prst="bentConnector3">
          <a:avLst>
            <a:gd name="adj1" fmla="val 63043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76204</xdr:colOff>
      <xdr:row>15</xdr:row>
      <xdr:rowOff>72257</xdr:rowOff>
    </xdr:from>
    <xdr:to>
      <xdr:col>9</xdr:col>
      <xdr:colOff>321881</xdr:colOff>
      <xdr:row>16</xdr:row>
      <xdr:rowOff>76199</xdr:rowOff>
    </xdr:to>
    <xdr:cxnSp macro="">
      <xdr:nvCxnSpPr>
        <xdr:cNvPr id="4130" name="肘形连接符 4129"/>
        <xdr:cNvCxnSpPr/>
      </xdr:nvCxnSpPr>
      <xdr:spPr>
        <a:xfrm rot="10800000" flipV="1">
          <a:off x="6349566" y="2811516"/>
          <a:ext cx="928849" cy="212835"/>
        </a:xfrm>
        <a:prstGeom prst="bentConnector3">
          <a:avLst>
            <a:gd name="adj1" fmla="val 10092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427034</xdr:colOff>
      <xdr:row>13</xdr:row>
      <xdr:rowOff>85726</xdr:rowOff>
    </xdr:from>
    <xdr:to>
      <xdr:col>13</xdr:col>
      <xdr:colOff>561976</xdr:colOff>
      <xdr:row>16</xdr:row>
      <xdr:rowOff>114300</xdr:rowOff>
    </xdr:to>
    <xdr:cxnSp macro="">
      <xdr:nvCxnSpPr>
        <xdr:cNvPr id="4135" name="肘形连接符 4134"/>
        <xdr:cNvCxnSpPr>
          <a:stCxn id="8" idx="2"/>
          <a:endCxn id="20" idx="0"/>
        </xdr:cNvCxnSpPr>
      </xdr:nvCxnSpPr>
      <xdr:spPr>
        <a:xfrm rot="5400000">
          <a:off x="9290843" y="2823367"/>
          <a:ext cx="657224" cy="820742"/>
        </a:xfrm>
        <a:prstGeom prst="bentConnector3">
          <a:avLst>
            <a:gd name="adj1" fmla="val 63043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529167</xdr:colOff>
      <xdr:row>15</xdr:row>
      <xdr:rowOff>74084</xdr:rowOff>
    </xdr:from>
    <xdr:to>
      <xdr:col>15</xdr:col>
      <xdr:colOff>410111</xdr:colOff>
      <xdr:row>16</xdr:row>
      <xdr:rowOff>57150</xdr:rowOff>
    </xdr:to>
    <xdr:cxnSp macro="">
      <xdr:nvCxnSpPr>
        <xdr:cNvPr id="4138" name="肘形连接符 4137"/>
        <xdr:cNvCxnSpPr>
          <a:endCxn id="21" idx="0"/>
        </xdr:cNvCxnSpPr>
      </xdr:nvCxnSpPr>
      <xdr:spPr>
        <a:xfrm>
          <a:off x="10022417" y="2783417"/>
          <a:ext cx="1256777" cy="19050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419100</xdr:colOff>
      <xdr:row>19</xdr:row>
      <xdr:rowOff>142875</xdr:rowOff>
    </xdr:from>
    <xdr:to>
      <xdr:col>13</xdr:col>
      <xdr:colOff>202144</xdr:colOff>
      <xdr:row>22</xdr:row>
      <xdr:rowOff>9525</xdr:rowOff>
    </xdr:to>
    <xdr:cxnSp macro="">
      <xdr:nvCxnSpPr>
        <xdr:cNvPr id="4146" name="肘形连接符 4145"/>
        <xdr:cNvCxnSpPr>
          <a:endCxn id="24" idx="0"/>
        </xdr:cNvCxnSpPr>
      </xdr:nvCxnSpPr>
      <xdr:spPr>
        <a:xfrm rot="16200000" flipH="1">
          <a:off x="9187922" y="4232803"/>
          <a:ext cx="495300" cy="468844"/>
        </a:xfrm>
        <a:prstGeom prst="bentConnector3">
          <a:avLst>
            <a:gd name="adj1" fmla="val 61538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410110</xdr:colOff>
      <xdr:row>19</xdr:row>
      <xdr:rowOff>47624</xdr:rowOff>
    </xdr:from>
    <xdr:to>
      <xdr:col>17</xdr:col>
      <xdr:colOff>123829</xdr:colOff>
      <xdr:row>22</xdr:row>
      <xdr:rowOff>0</xdr:rowOff>
    </xdr:to>
    <xdr:cxnSp macro="">
      <xdr:nvCxnSpPr>
        <xdr:cNvPr id="4149" name="肘形连接符 4148"/>
        <xdr:cNvCxnSpPr>
          <a:stCxn id="21" idx="2"/>
          <a:endCxn id="25" idx="0"/>
        </xdr:cNvCxnSpPr>
      </xdr:nvCxnSpPr>
      <xdr:spPr>
        <a:xfrm rot="16200000" flipH="1">
          <a:off x="11501707" y="3872177"/>
          <a:ext cx="581026" cy="1085319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447676</xdr:colOff>
      <xdr:row>20</xdr:row>
      <xdr:rowOff>169768</xdr:rowOff>
    </xdr:from>
    <xdr:to>
      <xdr:col>5</xdr:col>
      <xdr:colOff>151855</xdr:colOff>
      <xdr:row>21</xdr:row>
      <xdr:rowOff>165537</xdr:rowOff>
    </xdr:to>
    <xdr:cxnSp macro="">
      <xdr:nvCxnSpPr>
        <xdr:cNvPr id="4152" name="肘形连接符 4151"/>
        <xdr:cNvCxnSpPr/>
      </xdr:nvCxnSpPr>
      <xdr:spPr>
        <a:xfrm rot="10800000" flipV="1">
          <a:off x="2152651" y="4036918"/>
          <a:ext cx="1713954" cy="243419"/>
        </a:xfrm>
        <a:prstGeom prst="bentConnector3">
          <a:avLst>
            <a:gd name="adj1" fmla="val 100217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476250</xdr:colOff>
      <xdr:row>20</xdr:row>
      <xdr:rowOff>186230</xdr:rowOff>
    </xdr:from>
    <xdr:to>
      <xdr:col>4</xdr:col>
      <xdr:colOff>481835</xdr:colOff>
      <xdr:row>22</xdr:row>
      <xdr:rowOff>28575</xdr:rowOff>
    </xdr:to>
    <xdr:cxnSp macro="">
      <xdr:nvCxnSpPr>
        <xdr:cNvPr id="4156" name="直接连接符 4155"/>
        <xdr:cNvCxnSpPr>
          <a:endCxn id="13" idx="0"/>
        </xdr:cNvCxnSpPr>
      </xdr:nvCxnSpPr>
      <xdr:spPr>
        <a:xfrm flipH="1">
          <a:off x="3771900" y="4472480"/>
          <a:ext cx="5585" cy="2614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671512</xdr:colOff>
      <xdr:row>21</xdr:row>
      <xdr:rowOff>0</xdr:rowOff>
    </xdr:from>
    <xdr:to>
      <xdr:col>6</xdr:col>
      <xdr:colOff>676275</xdr:colOff>
      <xdr:row>22</xdr:row>
      <xdr:rowOff>28575</xdr:rowOff>
    </xdr:to>
    <xdr:cxnSp macro="">
      <xdr:nvCxnSpPr>
        <xdr:cNvPr id="4158" name="直接连接符 4157"/>
        <xdr:cNvCxnSpPr>
          <a:endCxn id="15" idx="0"/>
        </xdr:cNvCxnSpPr>
      </xdr:nvCxnSpPr>
      <xdr:spPr>
        <a:xfrm flipH="1">
          <a:off x="5338762" y="4495800"/>
          <a:ext cx="4763" cy="238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49743</xdr:colOff>
      <xdr:row>21</xdr:row>
      <xdr:rowOff>31750</xdr:rowOff>
    </xdr:from>
    <xdr:to>
      <xdr:col>12</xdr:col>
      <xdr:colOff>433918</xdr:colOff>
      <xdr:row>22</xdr:row>
      <xdr:rowOff>19050</xdr:rowOff>
    </xdr:to>
    <xdr:cxnSp macro="">
      <xdr:nvCxnSpPr>
        <xdr:cNvPr id="4160" name="肘形连接符 4159"/>
        <xdr:cNvCxnSpPr>
          <a:endCxn id="23" idx="0"/>
        </xdr:cNvCxnSpPr>
      </xdr:nvCxnSpPr>
      <xdr:spPr>
        <a:xfrm rot="10800000" flipV="1">
          <a:off x="8145993" y="4527550"/>
          <a:ext cx="1069975" cy="19685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40220</xdr:colOff>
      <xdr:row>20</xdr:row>
      <xdr:rowOff>120649</xdr:rowOff>
    </xdr:from>
    <xdr:to>
      <xdr:col>15</xdr:col>
      <xdr:colOff>423334</xdr:colOff>
      <xdr:row>22</xdr:row>
      <xdr:rowOff>9524</xdr:rowOff>
    </xdr:to>
    <xdr:cxnSp macro="">
      <xdr:nvCxnSpPr>
        <xdr:cNvPr id="4162" name="肘形连接符 4161"/>
        <xdr:cNvCxnSpPr>
          <a:endCxn id="26" idx="0"/>
        </xdr:cNvCxnSpPr>
      </xdr:nvCxnSpPr>
      <xdr:spPr>
        <a:xfrm rot="10800000" flipV="1">
          <a:off x="10879670" y="4406899"/>
          <a:ext cx="383114" cy="307975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500064</xdr:colOff>
      <xdr:row>5</xdr:row>
      <xdr:rowOff>142876</xdr:rowOff>
    </xdr:from>
    <xdr:to>
      <xdr:col>13</xdr:col>
      <xdr:colOff>561975</xdr:colOff>
      <xdr:row>6</xdr:row>
      <xdr:rowOff>19050</xdr:rowOff>
    </xdr:to>
    <xdr:cxnSp macro="">
      <xdr:nvCxnSpPr>
        <xdr:cNvPr id="56" name="肘形连接符 55"/>
        <xdr:cNvCxnSpPr>
          <a:stCxn id="19" idx="0"/>
          <a:endCxn id="79" idx="0"/>
        </xdr:cNvCxnSpPr>
      </xdr:nvCxnSpPr>
      <xdr:spPr>
        <a:xfrm rot="16200000" flipH="1" flipV="1">
          <a:off x="6793708" y="-2359818"/>
          <a:ext cx="47624" cy="6919911"/>
        </a:xfrm>
        <a:prstGeom prst="bentConnector3">
          <a:avLst>
            <a:gd name="adj1" fmla="val -220005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4</xdr:row>
      <xdr:rowOff>9525</xdr:rowOff>
    </xdr:from>
    <xdr:to>
      <xdr:col>8</xdr:col>
      <xdr:colOff>342901</xdr:colOff>
      <xdr:row>6</xdr:row>
      <xdr:rowOff>0</xdr:rowOff>
    </xdr:to>
    <xdr:cxnSp macro="">
      <xdr:nvCxnSpPr>
        <xdr:cNvPr id="66" name="直接连接符 65"/>
        <xdr:cNvCxnSpPr>
          <a:stCxn id="5" idx="2"/>
        </xdr:cNvCxnSpPr>
      </xdr:nvCxnSpPr>
      <xdr:spPr>
        <a:xfrm>
          <a:off x="6381750" y="942975"/>
          <a:ext cx="1" cy="4095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10</xdr:row>
      <xdr:rowOff>114299</xdr:rowOff>
    </xdr:from>
    <xdr:to>
      <xdr:col>9</xdr:col>
      <xdr:colOff>323850</xdr:colOff>
      <xdr:row>10</xdr:row>
      <xdr:rowOff>123824</xdr:rowOff>
    </xdr:to>
    <xdr:cxnSp macro="">
      <xdr:nvCxnSpPr>
        <xdr:cNvPr id="78" name="肘形连接符 77"/>
        <xdr:cNvCxnSpPr>
          <a:stCxn id="6" idx="0"/>
          <a:endCxn id="7" idx="0"/>
        </xdr:cNvCxnSpPr>
      </xdr:nvCxnSpPr>
      <xdr:spPr>
        <a:xfrm rot="16200000" flipH="1">
          <a:off x="5672137" y="1281112"/>
          <a:ext cx="9525" cy="1600200"/>
        </a:xfrm>
        <a:prstGeom prst="bentConnector3">
          <a:avLst>
            <a:gd name="adj1" fmla="val -170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8</xdr:row>
      <xdr:rowOff>66675</xdr:rowOff>
    </xdr:from>
    <xdr:to>
      <xdr:col>8</xdr:col>
      <xdr:colOff>342901</xdr:colOff>
      <xdr:row>9</xdr:row>
      <xdr:rowOff>142875</xdr:rowOff>
    </xdr:to>
    <xdr:cxnSp macro="">
      <xdr:nvCxnSpPr>
        <xdr:cNvPr id="81" name="直接连接符 80"/>
        <xdr:cNvCxnSpPr>
          <a:stCxn id="18" idx="2"/>
        </xdr:cNvCxnSpPr>
      </xdr:nvCxnSpPr>
      <xdr:spPr>
        <a:xfrm flipH="1">
          <a:off x="6381750" y="1838325"/>
          <a:ext cx="1" cy="2857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138113</xdr:colOff>
      <xdr:row>19</xdr:row>
      <xdr:rowOff>28575</xdr:rowOff>
    </xdr:from>
    <xdr:to>
      <xdr:col>9</xdr:col>
      <xdr:colOff>161925</xdr:colOff>
      <xdr:row>22</xdr:row>
      <xdr:rowOff>28575</xdr:rowOff>
    </xdr:to>
    <xdr:cxnSp macro="">
      <xdr:nvCxnSpPr>
        <xdr:cNvPr id="83" name="肘形连接符 82"/>
        <xdr:cNvCxnSpPr>
          <a:stCxn id="11" idx="2"/>
          <a:endCxn id="14" idx="0"/>
        </xdr:cNvCxnSpPr>
      </xdr:nvCxnSpPr>
      <xdr:spPr>
        <a:xfrm rot="16200000" flipH="1">
          <a:off x="5188744" y="3036094"/>
          <a:ext cx="628650" cy="2767012"/>
        </a:xfrm>
        <a:prstGeom prst="bentConnector3">
          <a:avLst>
            <a:gd name="adj1" fmla="val 59091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504825</xdr:colOff>
      <xdr:row>6</xdr:row>
      <xdr:rowOff>19050</xdr:rowOff>
    </xdr:from>
    <xdr:to>
      <xdr:col>5</xdr:col>
      <xdr:colOff>28577</xdr:colOff>
      <xdr:row>8</xdr:row>
      <xdr:rowOff>142875</xdr:rowOff>
    </xdr:to>
    <xdr:sp macro="" textlink="">
      <xdr:nvSpPr>
        <xdr:cNvPr id="79" name="矩形 78"/>
        <xdr:cNvSpPr/>
      </xdr:nvSpPr>
      <xdr:spPr>
        <a:xfrm>
          <a:off x="2457450" y="1123950"/>
          <a:ext cx="1800227" cy="542925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归属母公司股东净利润占比
</a:t>
          </a:r>
          <a:r>
            <a:rPr lang="en-US" altLang="zh-CN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93.13%/
107.31%</a:t>
          </a:r>
          <a:endParaRPr lang="en-US" altLang="zh-CN" sz="900" b="0" i="0" u="none" strike="noStrike" baseline="0">
            <a:solidFill>
              <a:srgbClr val="000000"/>
            </a:solidFill>
            <a:latin typeface="+mn-lt"/>
            <a:ea typeface="宋体"/>
          </a:endParaRPr>
        </a:p>
      </xdr:txBody>
    </xdr:sp>
    <xdr:clientData/>
  </xdr:twoCellAnchor>
  <xdr:twoCellAnchor editAs="oneCell">
    <xdr:from>
      <xdr:col>1</xdr:col>
      <xdr:colOff>1104900</xdr:colOff>
      <xdr:row>16</xdr:row>
      <xdr:rowOff>123825</xdr:rowOff>
    </xdr:from>
    <xdr:to>
      <xdr:col>3</xdr:col>
      <xdr:colOff>415925</xdr:colOff>
      <xdr:row>19</xdr:row>
      <xdr:rowOff>28575</xdr:rowOff>
    </xdr:to>
    <xdr:sp macro="" textlink="">
      <xdr:nvSpPr>
        <xdr:cNvPr id="80" name="矩形 79"/>
        <xdr:cNvSpPr/>
      </xdr:nvSpPr>
      <xdr:spPr>
        <a:xfrm>
          <a:off x="1695450" y="3228975"/>
          <a:ext cx="1038225" cy="590550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>
            <a:lnSpc>
              <a:spcPts val="1100"/>
            </a:lnSpc>
            <a:defRPr sz="1000"/>
          </a:pPr>
          <a:r>
            <a:rPr lang="zh-CN" alt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归属母公司净利润
</a:t>
          </a:r>
          <a:r>
            <a:rPr lang="en-US" altLang="zh-CN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28,984.88/
20,535.46</a:t>
          </a:r>
          <a:endParaRPr lang="en-US" altLang="zh-CN" sz="900" b="0" i="0" u="none" strike="noStrike" baseline="0">
            <a:solidFill>
              <a:srgbClr val="000000"/>
            </a:solidFill>
            <a:latin typeface="+mn-lt"/>
            <a:ea typeface="宋体"/>
          </a:endParaRPr>
        </a:p>
      </xdr:txBody>
    </xdr:sp>
    <xdr:clientData/>
  </xdr:twoCellAnchor>
  <xdr:twoCellAnchor editAs="oneCell">
    <xdr:from>
      <xdr:col>3</xdr:col>
      <xdr:colOff>476250</xdr:colOff>
      <xdr:row>17</xdr:row>
      <xdr:rowOff>85725</xdr:rowOff>
    </xdr:from>
    <xdr:to>
      <xdr:col>4</xdr:col>
      <xdr:colOff>133350</xdr:colOff>
      <xdr:row>18</xdr:row>
      <xdr:rowOff>133350</xdr:rowOff>
    </xdr:to>
    <xdr:sp macro="" textlink="">
      <xdr:nvSpPr>
        <xdr:cNvPr id="82" name="矩形 81"/>
        <xdr:cNvSpPr/>
      </xdr:nvSpPr>
      <xdr:spPr>
        <a:xfrm>
          <a:off x="2971800" y="3381375"/>
          <a:ext cx="266700" cy="295275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900">
              <a:latin typeface="+mn-lt"/>
            </a:rPr>
            <a:t>÷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6</xdr:col>
      <xdr:colOff>123825</xdr:colOff>
      <xdr:row>6</xdr:row>
      <xdr:rowOff>133350</xdr:rowOff>
    </xdr:from>
    <xdr:to>
      <xdr:col>6</xdr:col>
      <xdr:colOff>390524</xdr:colOff>
      <xdr:row>7</xdr:row>
      <xdr:rowOff>180976</xdr:rowOff>
    </xdr:to>
    <xdr:sp macro="" textlink="">
      <xdr:nvSpPr>
        <xdr:cNvPr id="84" name="矩形 83"/>
        <xdr:cNvSpPr/>
      </xdr:nvSpPr>
      <xdr:spPr>
        <a:xfrm>
          <a:off x="4448175" y="1333500"/>
          <a:ext cx="266699" cy="295276"/>
        </a:xfrm>
        <a:prstGeom prst="rect">
          <a:avLst/>
        </a:prstGeom>
        <a:solidFill>
          <a:srgbClr val="E8EEFA"/>
        </a:solidFill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900">
              <a:latin typeface="+mn-lt"/>
            </a:rPr>
            <a:t>×</a:t>
          </a:r>
          <a:endParaRPr lang="zh-CN" altLang="en-US" sz="900">
            <a:latin typeface="+mn-lt"/>
          </a:endParaRPr>
        </a:p>
      </xdr:txBody>
    </xdr:sp>
    <xdr:clientData/>
  </xdr:twoCellAnchor>
  <xdr:twoCellAnchor editAs="oneCell">
    <xdr:from>
      <xdr:col>3</xdr:col>
      <xdr:colOff>500064</xdr:colOff>
      <xdr:row>8</xdr:row>
      <xdr:rowOff>142874</xdr:rowOff>
    </xdr:from>
    <xdr:to>
      <xdr:col>4</xdr:col>
      <xdr:colOff>619125</xdr:colOff>
      <xdr:row>16</xdr:row>
      <xdr:rowOff>133349</xdr:rowOff>
    </xdr:to>
    <xdr:cxnSp macro="">
      <xdr:nvCxnSpPr>
        <xdr:cNvPr id="105" name="肘形连接符 104"/>
        <xdr:cNvCxnSpPr>
          <a:stCxn id="79" idx="2"/>
        </xdr:cNvCxnSpPr>
      </xdr:nvCxnSpPr>
      <xdr:spPr>
        <a:xfrm rot="16200000" flipH="1">
          <a:off x="2678907" y="2345531"/>
          <a:ext cx="1666875" cy="804861"/>
        </a:xfrm>
        <a:prstGeom prst="bentConnector3">
          <a:avLst>
            <a:gd name="adj1" fmla="val 83714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485775</xdr:colOff>
      <xdr:row>15</xdr:row>
      <xdr:rowOff>76199</xdr:rowOff>
    </xdr:from>
    <xdr:to>
      <xdr:col>3</xdr:col>
      <xdr:colOff>514350</xdr:colOff>
      <xdr:row>16</xdr:row>
      <xdr:rowOff>85724</xdr:rowOff>
    </xdr:to>
    <xdr:cxnSp macro="">
      <xdr:nvCxnSpPr>
        <xdr:cNvPr id="106" name="肘形连接符 105"/>
        <xdr:cNvCxnSpPr>
          <a:endCxn id="80" idx="0"/>
        </xdr:cNvCxnSpPr>
      </xdr:nvCxnSpPr>
      <xdr:spPr>
        <a:xfrm rot="10800000" flipV="1">
          <a:off x="2438400" y="2724149"/>
          <a:ext cx="933450" cy="219075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2</xdr:row>
          <xdr:rowOff>161925</xdr:rowOff>
        </xdr:from>
        <xdr:to>
          <xdr:col>17</xdr:col>
          <xdr:colOff>133350</xdr:colOff>
          <xdr:row>3</xdr:row>
          <xdr:rowOff>180975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与上年同期对比_数值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4</xdr:row>
          <xdr:rowOff>114300</xdr:rowOff>
        </xdr:from>
        <xdr:to>
          <xdr:col>17</xdr:col>
          <xdr:colOff>133350</xdr:colOff>
          <xdr:row>5</xdr:row>
          <xdr:rowOff>133350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与上年同期对比_比率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9525</xdr:rowOff>
        </xdr:from>
        <xdr:to>
          <xdr:col>3</xdr:col>
          <xdr:colOff>171450</xdr:colOff>
          <xdr:row>3</xdr:row>
          <xdr:rowOff>200025</xdr:rowOff>
        </xdr:to>
        <xdr:sp macro="" textlink="">
          <xdr:nvSpPr>
            <xdr:cNvPr id="4200" name="Drop Down 104" hidden="1">
              <a:extLst>
                <a:ext uri="{63B3BB69-23CF-44E3-9099-C40C66FF867C}">
                  <a14:compatExt spid="_x0000_s4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1</xdr:row>
          <xdr:rowOff>123825</xdr:rowOff>
        </xdr:from>
        <xdr:to>
          <xdr:col>17</xdr:col>
          <xdr:colOff>123825</xdr:colOff>
          <xdr:row>2</xdr:row>
          <xdr:rowOff>95250</xdr:rowOff>
        </xdr:to>
        <xdr:sp macro="" textlink="">
          <xdr:nvSpPr>
            <xdr:cNvPr id="50184" name="Option Button 2056" hidden="1">
              <a:extLst>
                <a:ext uri="{63B3BB69-23CF-44E3-9099-C40C66FF867C}">
                  <a14:compatExt spid="_x0000_s50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不与上年同期对比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1</xdr:col>
          <xdr:colOff>1009650</xdr:colOff>
          <xdr:row>8</xdr:row>
          <xdr:rowOff>114300</xdr:rowOff>
        </xdr:to>
        <xdr:sp macro="" textlink="">
          <xdr:nvSpPr>
            <xdr:cNvPr id="228147" name="Button 11059" hidden="1">
              <a:extLst>
                <a:ext uri="{63B3BB69-23CF-44E3-9099-C40C66FF867C}">
                  <a14:compatExt spid="_x0000_s228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复制图片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X220"/>
  <sheetViews>
    <sheetView showGridLines="0" tabSelected="1" workbookViewId="0">
      <selection activeCell="G10" sqref="G10"/>
    </sheetView>
  </sheetViews>
  <sheetFormatPr defaultColWidth="9" defaultRowHeight="17.25" x14ac:dyDescent="0.35"/>
  <cols>
    <col min="1" max="3" width="9" style="44"/>
    <col min="4" max="4" width="10.375" style="44" bestFit="1" customWidth="1"/>
    <col min="5" max="5" width="9.75" style="44" bestFit="1" customWidth="1"/>
    <col min="6" max="6" width="13.125" style="44" customWidth="1"/>
    <col min="7" max="7" width="10" style="44" bestFit="1" customWidth="1"/>
    <col min="8" max="8" width="20.625" style="44" customWidth="1"/>
    <col min="9" max="9" width="10.625" style="44" customWidth="1"/>
    <col min="10" max="10" width="9.125" style="45"/>
    <col min="11" max="18" width="9" style="44"/>
    <col min="19" max="19" width="12.5" style="58" bestFit="1" customWidth="1"/>
    <col min="20" max="20" width="9" style="64"/>
    <col min="21" max="21" width="9.125" style="65" bestFit="1" customWidth="1"/>
    <col min="22" max="22" width="9" style="65"/>
    <col min="23" max="23" width="11.625" style="65" bestFit="1" customWidth="1"/>
    <col min="24" max="16384" width="9" style="44"/>
  </cols>
  <sheetData>
    <row r="1" spans="5:24" x14ac:dyDescent="0.35">
      <c r="M1" s="46"/>
      <c r="N1" s="46"/>
      <c r="O1" s="46"/>
      <c r="P1" s="46"/>
      <c r="Q1" s="46"/>
      <c r="R1" s="46"/>
      <c r="S1" s="47">
        <v>43921</v>
      </c>
      <c r="T1" s="48"/>
      <c r="U1" s="49">
        <f>F15</f>
        <v>3</v>
      </c>
      <c r="V1" s="49" t="str">
        <f>VLOOKUP(F15,U2:W7,2,FALSE)</f>
        <v>万元</v>
      </c>
      <c r="W1" s="49">
        <f>VLOOKUP(F15,U2:W77,3,FALSE)</f>
        <v>10000</v>
      </c>
    </row>
    <row r="2" spans="5:24" x14ac:dyDescent="0.35">
      <c r="M2" s="46"/>
      <c r="N2" s="46"/>
      <c r="O2" s="46"/>
      <c r="P2" s="46"/>
      <c r="Q2" s="46"/>
      <c r="R2" s="46"/>
      <c r="S2" s="47">
        <v>43830</v>
      </c>
      <c r="T2" s="48"/>
      <c r="U2" s="49">
        <v>1</v>
      </c>
      <c r="V2" s="50" t="s">
        <v>4</v>
      </c>
      <c r="W2" s="51">
        <v>1</v>
      </c>
      <c r="X2" s="52"/>
    </row>
    <row r="3" spans="5:24" x14ac:dyDescent="0.35">
      <c r="M3" s="46"/>
      <c r="N3" s="46"/>
      <c r="O3" s="46"/>
      <c r="P3" s="46"/>
      <c r="Q3" s="46"/>
      <c r="R3" s="46"/>
      <c r="S3" s="47">
        <v>43738</v>
      </c>
      <c r="T3" s="48"/>
      <c r="U3" s="49">
        <v>2</v>
      </c>
      <c r="V3" s="50" t="s">
        <v>5</v>
      </c>
      <c r="W3" s="51">
        <v>1000</v>
      </c>
      <c r="X3" s="52"/>
    </row>
    <row r="4" spans="5:24" x14ac:dyDescent="0.35">
      <c r="M4" s="46"/>
      <c r="N4" s="46"/>
      <c r="O4" s="46"/>
      <c r="P4" s="46"/>
      <c r="Q4" s="46"/>
      <c r="R4" s="46"/>
      <c r="S4" s="47">
        <v>43646</v>
      </c>
      <c r="T4" s="48"/>
      <c r="U4" s="49">
        <v>3</v>
      </c>
      <c r="V4" s="50" t="s">
        <v>6</v>
      </c>
      <c r="W4" s="51">
        <v>10000</v>
      </c>
      <c r="X4" s="52"/>
    </row>
    <row r="5" spans="5:24" x14ac:dyDescent="0.35">
      <c r="M5" s="46"/>
      <c r="N5" s="46"/>
      <c r="O5" s="46"/>
      <c r="P5" s="46"/>
      <c r="Q5" s="46"/>
      <c r="R5" s="46"/>
      <c r="S5" s="47">
        <v>43555</v>
      </c>
      <c r="T5" s="48"/>
      <c r="U5" s="49">
        <v>4</v>
      </c>
      <c r="V5" s="50" t="s">
        <v>7</v>
      </c>
      <c r="W5" s="53">
        <v>1000000</v>
      </c>
      <c r="X5" s="52"/>
    </row>
    <row r="6" spans="5:24" x14ac:dyDescent="0.35">
      <c r="M6" s="46"/>
      <c r="N6" s="46"/>
      <c r="O6" s="46"/>
      <c r="P6" s="46"/>
      <c r="Q6" s="46"/>
      <c r="R6" s="46"/>
      <c r="S6" s="47">
        <v>43465</v>
      </c>
      <c r="T6" s="48"/>
      <c r="U6" s="49">
        <v>5</v>
      </c>
      <c r="V6" s="49" t="s">
        <v>9</v>
      </c>
      <c r="W6" s="49">
        <v>100000000</v>
      </c>
    </row>
    <row r="7" spans="5:24" ht="21" customHeight="1" x14ac:dyDescent="0.45">
      <c r="E7" s="126"/>
      <c r="F7" s="126"/>
      <c r="G7" s="126"/>
      <c r="H7" s="126"/>
      <c r="I7" s="126"/>
      <c r="M7" s="46"/>
      <c r="N7" s="46"/>
      <c r="O7" s="46"/>
      <c r="P7" s="46"/>
      <c r="Q7" s="46"/>
      <c r="R7" s="46"/>
      <c r="S7" s="47">
        <v>43373</v>
      </c>
      <c r="T7" s="48"/>
      <c r="U7" s="49">
        <v>6</v>
      </c>
      <c r="V7" s="49" t="s">
        <v>10</v>
      </c>
      <c r="W7" s="49">
        <v>1000000000</v>
      </c>
    </row>
    <row r="8" spans="5:24" ht="16.899999999999999" customHeight="1" x14ac:dyDescent="0.35">
      <c r="M8" s="46"/>
      <c r="N8" s="46"/>
      <c r="O8" s="46"/>
      <c r="P8" s="46"/>
      <c r="Q8" s="46"/>
      <c r="R8" s="46"/>
      <c r="S8" s="47">
        <v>43281</v>
      </c>
      <c r="T8" s="48"/>
      <c r="U8" s="49"/>
      <c r="V8" s="49"/>
      <c r="W8" s="49"/>
    </row>
    <row r="9" spans="5:24" ht="16.899999999999999" customHeight="1" x14ac:dyDescent="0.35">
      <c r="M9" s="46"/>
      <c r="N9" s="46"/>
      <c r="O9" s="46"/>
      <c r="P9" s="46"/>
      <c r="Q9" s="46"/>
      <c r="R9" s="46"/>
      <c r="S9" s="47">
        <v>43190</v>
      </c>
      <c r="T9" s="48"/>
      <c r="U9" s="49"/>
      <c r="V9" s="49"/>
      <c r="W9" s="49"/>
    </row>
    <row r="10" spans="5:24" ht="16.899999999999999" customHeight="1" x14ac:dyDescent="0.35">
      <c r="E10" s="54" t="s">
        <v>35</v>
      </c>
      <c r="F10" s="120" t="s">
        <v>270</v>
      </c>
      <c r="H10" s="55" t="s">
        <v>36</v>
      </c>
      <c r="I10" s="56">
        <f>_xll.GilCalc.CoGilCalc.gCalc("S_DQ_CLOSE",StockCode,_xll.GilCalc.CoGilCalc.gCalc("S_DQ_LASTTRADINGDAY",StockCode,AnalysisDateText),0)</f>
        <v>23.68</v>
      </c>
      <c r="J10" s="57"/>
      <c r="M10" s="46"/>
      <c r="N10" s="46"/>
      <c r="O10" s="46"/>
      <c r="P10" s="46"/>
      <c r="Q10" s="46"/>
      <c r="R10" s="46"/>
      <c r="S10" s="47">
        <v>43100</v>
      </c>
      <c r="T10" s="48"/>
      <c r="U10" s="49"/>
      <c r="V10" s="49"/>
      <c r="W10" s="49"/>
    </row>
    <row r="11" spans="5:24" ht="16.899999999999999" customHeight="1" x14ac:dyDescent="0.35">
      <c r="E11" s="54" t="s">
        <v>37</v>
      </c>
      <c r="F11" s="56" t="str">
        <f>_xll.GilCalc.CoGilCalc.gCalc("S_INFO_SNAME",StockCode)</f>
        <v>新 华 网</v>
      </c>
      <c r="G11" s="58"/>
      <c r="H11" s="55" t="s">
        <v>38</v>
      </c>
      <c r="I11" s="59">
        <f>_xll.GilCalc.CoGilCalc.gCalc("S_SHARE_TOTALSHARE",StockCode,AnalysisDateText)/1000000</f>
        <v>519.02936</v>
      </c>
      <c r="J11" s="57"/>
      <c r="M11" s="46"/>
      <c r="N11" s="46"/>
      <c r="O11" s="46"/>
      <c r="P11" s="46"/>
      <c r="Q11" s="46"/>
      <c r="R11" s="46"/>
      <c r="S11" s="47">
        <v>43008</v>
      </c>
      <c r="T11" s="48"/>
      <c r="U11" s="49"/>
      <c r="V11" s="49"/>
      <c r="W11" s="49"/>
    </row>
    <row r="12" spans="5:24" ht="16.899999999999999" customHeight="1" x14ac:dyDescent="0.35">
      <c r="E12" s="54" t="s">
        <v>39</v>
      </c>
      <c r="F12" s="121">
        <v>43123</v>
      </c>
      <c r="G12" s="58" t="str">
        <f>TEXT(F12,"yyyy-mm-dd")</f>
        <v>2018-01-23</v>
      </c>
      <c r="H12" s="55" t="s">
        <v>40</v>
      </c>
      <c r="I12" s="56">
        <f>_xll.GilCalc.CoGilCalc.gCalc("S_SHARE_NONRESTRICTEDA",StockCode,AnalysisDateText)/1000000</f>
        <v>176.46997999999999</v>
      </c>
      <c r="J12" s="57"/>
      <c r="M12" s="46"/>
      <c r="N12" s="46"/>
      <c r="O12" s="46"/>
      <c r="P12" s="46"/>
      <c r="Q12" s="46"/>
      <c r="R12" s="46"/>
      <c r="S12" s="47">
        <v>42916</v>
      </c>
      <c r="T12" s="48"/>
      <c r="U12" s="49"/>
      <c r="V12" s="49"/>
      <c r="W12" s="49"/>
    </row>
    <row r="13" spans="5:24" ht="16.899999999999999" customHeight="1" x14ac:dyDescent="0.35">
      <c r="E13" s="60" t="s">
        <v>41</v>
      </c>
      <c r="F13" s="122">
        <v>6</v>
      </c>
      <c r="G13" s="61"/>
      <c r="H13" s="55" t="s">
        <v>42</v>
      </c>
      <c r="I13" s="62">
        <f>I12/I11</f>
        <v>0.33999999537598413</v>
      </c>
      <c r="M13" s="46"/>
      <c r="N13" s="46"/>
      <c r="O13" s="46"/>
      <c r="P13" s="46"/>
      <c r="Q13" s="46"/>
      <c r="R13" s="46"/>
      <c r="S13" s="47">
        <v>42825</v>
      </c>
      <c r="T13" s="48"/>
      <c r="U13" s="49"/>
      <c r="V13" s="49"/>
      <c r="W13" s="49"/>
    </row>
    <row r="14" spans="5:24" ht="16.899999999999999" customHeight="1" x14ac:dyDescent="0.35">
      <c r="E14" s="55" t="s">
        <v>43</v>
      </c>
      <c r="F14" s="122">
        <v>1</v>
      </c>
      <c r="G14" s="61"/>
      <c r="H14" s="55" t="s">
        <v>44</v>
      </c>
      <c r="I14" s="56">
        <f>I11*I10/100</f>
        <v>122.906152448</v>
      </c>
      <c r="M14" s="46"/>
      <c r="N14" s="46"/>
      <c r="O14" s="46"/>
      <c r="P14" s="46"/>
      <c r="Q14" s="46"/>
      <c r="R14" s="46"/>
      <c r="S14" s="47">
        <v>42735</v>
      </c>
      <c r="T14" s="48"/>
      <c r="U14" s="49"/>
      <c r="V14" s="49"/>
      <c r="W14" s="49"/>
    </row>
    <row r="15" spans="5:24" ht="16.899999999999999" customHeight="1" x14ac:dyDescent="0.35">
      <c r="E15" s="55" t="s">
        <v>45</v>
      </c>
      <c r="F15" s="123">
        <v>3</v>
      </c>
      <c r="G15" s="63"/>
      <c r="H15" s="55" t="s">
        <v>46</v>
      </c>
      <c r="I15" s="59">
        <f>I12*I10/100</f>
        <v>41.788091263999995</v>
      </c>
      <c r="M15" s="46"/>
      <c r="N15" s="46"/>
      <c r="O15" s="46"/>
      <c r="P15" s="46"/>
      <c r="Q15" s="46"/>
      <c r="R15" s="46"/>
      <c r="S15" s="47">
        <v>42643</v>
      </c>
      <c r="T15" s="48"/>
      <c r="U15" s="49"/>
      <c r="V15" s="49"/>
      <c r="W15" s="49"/>
    </row>
    <row r="16" spans="5:24" ht="16.899999999999999" customHeight="1" x14ac:dyDescent="0.35">
      <c r="M16" s="46"/>
      <c r="N16" s="46"/>
      <c r="O16" s="46"/>
      <c r="P16" s="46"/>
      <c r="Q16" s="46"/>
      <c r="R16" s="46"/>
      <c r="S16" s="47">
        <v>42551</v>
      </c>
      <c r="T16" s="48"/>
      <c r="U16" s="49"/>
      <c r="V16" s="49"/>
      <c r="W16" s="49"/>
    </row>
    <row r="17" spans="4:19" ht="16.899999999999999" customHeight="1" x14ac:dyDescent="0.35">
      <c r="M17" s="46"/>
      <c r="N17" s="46"/>
      <c r="O17" s="46"/>
      <c r="P17" s="46"/>
      <c r="Q17" s="46"/>
      <c r="R17" s="46"/>
      <c r="S17" s="47">
        <v>42369</v>
      </c>
    </row>
    <row r="18" spans="4:19" ht="16.899999999999999" customHeight="1" x14ac:dyDescent="0.35">
      <c r="E18" s="66"/>
      <c r="M18" s="46"/>
      <c r="N18" s="46"/>
      <c r="O18" s="46"/>
      <c r="P18" s="46"/>
      <c r="Q18" s="46"/>
      <c r="R18" s="46"/>
      <c r="S18" s="47">
        <v>42004</v>
      </c>
    </row>
    <row r="19" spans="4:19" ht="16.899999999999999" customHeight="1" x14ac:dyDescent="0.35">
      <c r="E19" s="67" t="s">
        <v>47</v>
      </c>
      <c r="F19" s="68"/>
      <c r="G19" s="68"/>
      <c r="H19" s="69"/>
      <c r="I19" s="68"/>
      <c r="K19" s="68"/>
      <c r="L19" s="68"/>
      <c r="M19" s="70"/>
      <c r="N19" s="71"/>
      <c r="O19" s="71"/>
      <c r="P19" s="71"/>
      <c r="Q19" s="71"/>
      <c r="R19" s="71"/>
      <c r="S19" s="47">
        <v>41639</v>
      </c>
    </row>
    <row r="20" spans="4:19" ht="16.899999999999999" customHeight="1" x14ac:dyDescent="0.35">
      <c r="E20" s="68" t="s">
        <v>48</v>
      </c>
      <c r="F20" s="68"/>
      <c r="G20" s="68"/>
      <c r="H20" s="69"/>
      <c r="I20" s="68"/>
      <c r="K20" s="68"/>
      <c r="L20" s="68"/>
      <c r="O20" s="71"/>
      <c r="P20" s="71"/>
      <c r="Q20" s="71"/>
      <c r="R20" s="71"/>
      <c r="S20" s="47">
        <v>41274</v>
      </c>
    </row>
    <row r="21" spans="4:19" ht="16.899999999999999" customHeight="1" x14ac:dyDescent="0.35">
      <c r="E21" s="68" t="s">
        <v>49</v>
      </c>
      <c r="F21" s="68"/>
      <c r="G21" s="68"/>
      <c r="H21" s="69"/>
      <c r="I21" s="68"/>
      <c r="K21" s="68"/>
      <c r="L21" s="68"/>
      <c r="O21" s="71"/>
      <c r="P21" s="71"/>
      <c r="Q21" s="71"/>
      <c r="R21" s="71"/>
      <c r="S21" s="47">
        <v>40908</v>
      </c>
    </row>
    <row r="22" spans="4:19" ht="16.899999999999999" customHeight="1" x14ac:dyDescent="0.35">
      <c r="E22" s="68" t="s">
        <v>50</v>
      </c>
      <c r="F22" s="68"/>
      <c r="G22" s="68"/>
      <c r="H22" s="69"/>
      <c r="I22" s="68"/>
      <c r="K22" s="68"/>
      <c r="L22" s="68"/>
      <c r="M22" s="70"/>
      <c r="N22" s="71"/>
      <c r="O22" s="71"/>
      <c r="P22" s="71"/>
      <c r="Q22" s="71"/>
      <c r="R22" s="71"/>
      <c r="S22" s="47">
        <v>42004</v>
      </c>
    </row>
    <row r="23" spans="4:19" ht="16.899999999999999" customHeight="1" x14ac:dyDescent="0.35">
      <c r="D23" s="72"/>
      <c r="E23" s="73" t="s">
        <v>51</v>
      </c>
      <c r="F23" s="68"/>
      <c r="G23" s="68"/>
      <c r="H23" s="69"/>
      <c r="I23" s="68"/>
      <c r="K23" s="68"/>
      <c r="L23" s="68"/>
      <c r="M23" s="70"/>
      <c r="N23" s="71"/>
      <c r="O23" s="71"/>
      <c r="P23" s="71"/>
      <c r="Q23" s="71"/>
      <c r="R23" s="71"/>
      <c r="S23" s="47">
        <v>41912</v>
      </c>
    </row>
    <row r="24" spans="4:19" ht="16.899999999999999" customHeight="1" x14ac:dyDescent="0.35">
      <c r="E24" s="73" t="s">
        <v>52</v>
      </c>
      <c r="F24" s="68"/>
      <c r="G24" s="68"/>
      <c r="H24" s="69"/>
      <c r="I24" s="68"/>
      <c r="K24" s="68"/>
      <c r="L24" s="68"/>
      <c r="M24" s="70"/>
      <c r="N24" s="71"/>
      <c r="O24" s="71"/>
      <c r="P24" s="71"/>
      <c r="Q24" s="71"/>
      <c r="R24" s="71"/>
      <c r="S24" s="47">
        <v>41820</v>
      </c>
    </row>
    <row r="25" spans="4:19" ht="16.899999999999999" customHeight="1" x14ac:dyDescent="0.35">
      <c r="E25" s="68"/>
      <c r="F25" s="68"/>
      <c r="G25" s="68"/>
      <c r="H25" s="69"/>
      <c r="I25" s="68"/>
      <c r="K25" s="68"/>
      <c r="L25" s="68"/>
      <c r="M25" s="70"/>
      <c r="N25" s="46"/>
      <c r="O25" s="46"/>
      <c r="P25" s="46"/>
      <c r="Q25" s="46"/>
      <c r="R25" s="46"/>
      <c r="S25" s="47">
        <v>41729</v>
      </c>
    </row>
    <row r="26" spans="4:19" ht="16.899999999999999" customHeight="1" x14ac:dyDescent="0.35">
      <c r="H26" s="74"/>
      <c r="M26" s="46"/>
      <c r="N26" s="46"/>
      <c r="O26" s="46"/>
      <c r="P26" s="46"/>
      <c r="Q26" s="46"/>
      <c r="R26" s="46"/>
      <c r="S26" s="47">
        <v>41639</v>
      </c>
    </row>
    <row r="27" spans="4:19" ht="16.899999999999999" customHeight="1" x14ac:dyDescent="0.35">
      <c r="H27" s="74"/>
      <c r="M27" s="46"/>
      <c r="N27" s="46"/>
      <c r="O27" s="46"/>
      <c r="P27" s="46"/>
      <c r="Q27" s="46"/>
      <c r="R27" s="46"/>
      <c r="S27" s="47">
        <v>41547</v>
      </c>
    </row>
    <row r="28" spans="4:19" ht="16.899999999999999" customHeight="1" x14ac:dyDescent="0.35">
      <c r="H28" s="74"/>
      <c r="M28" s="46"/>
      <c r="N28" s="46"/>
      <c r="O28" s="46"/>
      <c r="P28" s="46"/>
      <c r="Q28" s="46"/>
      <c r="R28" s="46"/>
      <c r="S28" s="47">
        <v>41455</v>
      </c>
    </row>
    <row r="29" spans="4:19" x14ac:dyDescent="0.35">
      <c r="M29" s="46"/>
      <c r="N29" s="46"/>
      <c r="O29" s="46"/>
      <c r="P29" s="46"/>
      <c r="Q29" s="46"/>
      <c r="R29" s="46"/>
      <c r="S29" s="47">
        <v>41364</v>
      </c>
    </row>
    <row r="30" spans="4:19" x14ac:dyDescent="0.35">
      <c r="M30" s="46"/>
      <c r="N30" s="46"/>
      <c r="O30" s="46"/>
      <c r="P30" s="46"/>
      <c r="Q30" s="46"/>
      <c r="R30" s="46"/>
      <c r="S30" s="47">
        <v>41274</v>
      </c>
    </row>
    <row r="31" spans="4:19" x14ac:dyDescent="0.35">
      <c r="M31" s="46"/>
      <c r="N31" s="46"/>
      <c r="O31" s="46"/>
      <c r="P31" s="46"/>
      <c r="Q31" s="46"/>
      <c r="R31" s="46"/>
      <c r="S31" s="47">
        <v>41182</v>
      </c>
    </row>
    <row r="32" spans="4:19" x14ac:dyDescent="0.35">
      <c r="M32" s="46"/>
      <c r="N32" s="46"/>
      <c r="O32" s="46"/>
      <c r="P32" s="46"/>
      <c r="Q32" s="46"/>
      <c r="R32" s="46"/>
      <c r="S32" s="47">
        <v>41090</v>
      </c>
    </row>
    <row r="33" spans="19:19" x14ac:dyDescent="0.35">
      <c r="S33" s="47">
        <v>40999</v>
      </c>
    </row>
    <row r="34" spans="19:19" x14ac:dyDescent="0.35">
      <c r="S34" s="47">
        <v>40908</v>
      </c>
    </row>
    <row r="35" spans="19:19" x14ac:dyDescent="0.35">
      <c r="S35" s="47">
        <v>40816</v>
      </c>
    </row>
    <row r="36" spans="19:19" x14ac:dyDescent="0.35">
      <c r="S36" s="47">
        <v>40724</v>
      </c>
    </row>
    <row r="37" spans="19:19" x14ac:dyDescent="0.35">
      <c r="S37" s="47">
        <v>40633</v>
      </c>
    </row>
    <row r="38" spans="19:19" x14ac:dyDescent="0.35">
      <c r="S38" s="47">
        <v>40543</v>
      </c>
    </row>
    <row r="39" spans="19:19" x14ac:dyDescent="0.35">
      <c r="S39" s="47">
        <v>40451</v>
      </c>
    </row>
    <row r="40" spans="19:19" x14ac:dyDescent="0.35">
      <c r="S40" s="47">
        <v>40359</v>
      </c>
    </row>
    <row r="41" spans="19:19" x14ac:dyDescent="0.35">
      <c r="S41" s="47">
        <v>40268</v>
      </c>
    </row>
    <row r="42" spans="19:19" x14ac:dyDescent="0.35">
      <c r="S42" s="47">
        <v>40178</v>
      </c>
    </row>
    <row r="43" spans="19:19" x14ac:dyDescent="0.35">
      <c r="S43" s="47">
        <v>40086</v>
      </c>
    </row>
    <row r="44" spans="19:19" x14ac:dyDescent="0.35">
      <c r="S44" s="47">
        <v>39994</v>
      </c>
    </row>
    <row r="45" spans="19:19" x14ac:dyDescent="0.35">
      <c r="S45" s="47">
        <v>39903</v>
      </c>
    </row>
    <row r="46" spans="19:19" x14ac:dyDescent="0.35">
      <c r="S46" s="47">
        <v>39813</v>
      </c>
    </row>
    <row r="47" spans="19:19" x14ac:dyDescent="0.35">
      <c r="S47" s="47">
        <v>39721</v>
      </c>
    </row>
    <row r="48" spans="19:19" x14ac:dyDescent="0.35">
      <c r="S48" s="47">
        <v>39629</v>
      </c>
    </row>
    <row r="49" spans="19:19" x14ac:dyDescent="0.35">
      <c r="S49" s="47">
        <v>39538</v>
      </c>
    </row>
    <row r="50" spans="19:19" x14ac:dyDescent="0.35">
      <c r="S50" s="47">
        <v>39447</v>
      </c>
    </row>
    <row r="51" spans="19:19" x14ac:dyDescent="0.35">
      <c r="S51" s="47">
        <v>39355</v>
      </c>
    </row>
    <row r="52" spans="19:19" x14ac:dyDescent="0.35">
      <c r="S52" s="47">
        <v>39263</v>
      </c>
    </row>
    <row r="53" spans="19:19" x14ac:dyDescent="0.35">
      <c r="S53" s="47">
        <v>39172</v>
      </c>
    </row>
    <row r="54" spans="19:19" x14ac:dyDescent="0.35">
      <c r="S54" s="47">
        <v>39082</v>
      </c>
    </row>
    <row r="55" spans="19:19" x14ac:dyDescent="0.35">
      <c r="S55" s="47">
        <v>38990</v>
      </c>
    </row>
    <row r="56" spans="19:19" x14ac:dyDescent="0.35">
      <c r="S56" s="47">
        <v>38898</v>
      </c>
    </row>
    <row r="57" spans="19:19" x14ac:dyDescent="0.35">
      <c r="S57" s="47">
        <v>38807</v>
      </c>
    </row>
    <row r="58" spans="19:19" x14ac:dyDescent="0.35">
      <c r="S58" s="47">
        <v>38717</v>
      </c>
    </row>
    <row r="59" spans="19:19" x14ac:dyDescent="0.35">
      <c r="S59" s="47">
        <v>38625</v>
      </c>
    </row>
    <row r="60" spans="19:19" x14ac:dyDescent="0.35">
      <c r="S60" s="47">
        <v>38533</v>
      </c>
    </row>
    <row r="61" spans="19:19" x14ac:dyDescent="0.35">
      <c r="S61" s="47">
        <v>38442</v>
      </c>
    </row>
    <row r="62" spans="19:19" x14ac:dyDescent="0.35">
      <c r="S62" s="47">
        <v>38352</v>
      </c>
    </row>
    <row r="63" spans="19:19" x14ac:dyDescent="0.35">
      <c r="S63" s="47">
        <v>38260</v>
      </c>
    </row>
    <row r="64" spans="19:19" x14ac:dyDescent="0.35">
      <c r="S64" s="47">
        <v>38168</v>
      </c>
    </row>
    <row r="65" spans="19:19" x14ac:dyDescent="0.35">
      <c r="S65" s="47">
        <v>38077</v>
      </c>
    </row>
    <row r="66" spans="19:19" x14ac:dyDescent="0.35">
      <c r="S66" s="47">
        <v>37986</v>
      </c>
    </row>
    <row r="67" spans="19:19" x14ac:dyDescent="0.35">
      <c r="S67" s="47">
        <v>37894</v>
      </c>
    </row>
    <row r="68" spans="19:19" x14ac:dyDescent="0.35">
      <c r="S68" s="47">
        <v>37802</v>
      </c>
    </row>
    <row r="69" spans="19:19" x14ac:dyDescent="0.35">
      <c r="S69" s="47">
        <v>37621</v>
      </c>
    </row>
    <row r="70" spans="19:19" x14ac:dyDescent="0.35">
      <c r="S70" s="47">
        <v>37256</v>
      </c>
    </row>
    <row r="71" spans="19:19" x14ac:dyDescent="0.35">
      <c r="S71" s="47">
        <v>36891</v>
      </c>
    </row>
    <row r="72" spans="19:19" x14ac:dyDescent="0.35">
      <c r="S72" s="47">
        <v>36616</v>
      </c>
    </row>
    <row r="73" spans="19:19" x14ac:dyDescent="0.35">
      <c r="S73" s="47">
        <v>36525</v>
      </c>
    </row>
    <row r="74" spans="19:19" x14ac:dyDescent="0.35">
      <c r="S74" s="47">
        <v>36433</v>
      </c>
    </row>
    <row r="75" spans="19:19" x14ac:dyDescent="0.35">
      <c r="S75" s="47">
        <v>36341</v>
      </c>
    </row>
    <row r="76" spans="19:19" x14ac:dyDescent="0.35">
      <c r="S76" s="47">
        <v>36250</v>
      </c>
    </row>
    <row r="77" spans="19:19" x14ac:dyDescent="0.35">
      <c r="S77" s="47">
        <v>36160</v>
      </c>
    </row>
    <row r="78" spans="19:19" x14ac:dyDescent="0.35">
      <c r="S78" s="47">
        <v>36068</v>
      </c>
    </row>
    <row r="79" spans="19:19" x14ac:dyDescent="0.35">
      <c r="S79" s="47">
        <v>35976</v>
      </c>
    </row>
    <row r="80" spans="19:19" x14ac:dyDescent="0.35">
      <c r="S80" s="47">
        <v>35885</v>
      </c>
    </row>
    <row r="81" spans="19:19" x14ac:dyDescent="0.35">
      <c r="S81" s="47">
        <v>35795</v>
      </c>
    </row>
    <row r="82" spans="19:19" x14ac:dyDescent="0.35">
      <c r="S82" s="47">
        <v>35703</v>
      </c>
    </row>
    <row r="83" spans="19:19" x14ac:dyDescent="0.35">
      <c r="S83" s="47">
        <v>35611</v>
      </c>
    </row>
    <row r="84" spans="19:19" x14ac:dyDescent="0.35">
      <c r="S84" s="47">
        <v>35520</v>
      </c>
    </row>
    <row r="85" spans="19:19" x14ac:dyDescent="0.35">
      <c r="S85" s="47">
        <v>35430</v>
      </c>
    </row>
    <row r="86" spans="19:19" x14ac:dyDescent="0.35">
      <c r="S86" s="47">
        <v>35338</v>
      </c>
    </row>
    <row r="87" spans="19:19" x14ac:dyDescent="0.35">
      <c r="S87" s="47">
        <v>35246</v>
      </c>
    </row>
    <row r="88" spans="19:19" x14ac:dyDescent="0.35">
      <c r="S88" s="47">
        <v>35155</v>
      </c>
    </row>
    <row r="89" spans="19:19" x14ac:dyDescent="0.35">
      <c r="S89" s="47">
        <v>35064</v>
      </c>
    </row>
    <row r="90" spans="19:19" x14ac:dyDescent="0.35">
      <c r="S90" s="47">
        <v>34972</v>
      </c>
    </row>
    <row r="91" spans="19:19" x14ac:dyDescent="0.35">
      <c r="S91" s="47">
        <v>34880</v>
      </c>
    </row>
    <row r="92" spans="19:19" x14ac:dyDescent="0.35">
      <c r="S92" s="47">
        <v>34789</v>
      </c>
    </row>
    <row r="93" spans="19:19" x14ac:dyDescent="0.35">
      <c r="S93" s="47">
        <v>34699</v>
      </c>
    </row>
    <row r="94" spans="19:19" x14ac:dyDescent="0.35">
      <c r="S94" s="47">
        <v>34607</v>
      </c>
    </row>
    <row r="95" spans="19:19" x14ac:dyDescent="0.35">
      <c r="S95" s="47">
        <v>34515</v>
      </c>
    </row>
    <row r="96" spans="19:19" x14ac:dyDescent="0.35">
      <c r="S96" s="47">
        <v>34424</v>
      </c>
    </row>
    <row r="97" spans="19:19" x14ac:dyDescent="0.35">
      <c r="S97" s="47">
        <v>34334</v>
      </c>
    </row>
    <row r="98" spans="19:19" x14ac:dyDescent="0.35">
      <c r="S98" s="47">
        <v>34242</v>
      </c>
    </row>
    <row r="99" spans="19:19" x14ac:dyDescent="0.35">
      <c r="S99" s="47">
        <v>34150</v>
      </c>
    </row>
    <row r="100" spans="19:19" x14ac:dyDescent="0.35">
      <c r="S100" s="47">
        <v>34059</v>
      </c>
    </row>
    <row r="101" spans="19:19" x14ac:dyDescent="0.35">
      <c r="S101" s="47">
        <v>33969</v>
      </c>
    </row>
    <row r="102" spans="19:19" x14ac:dyDescent="0.35">
      <c r="S102" s="47">
        <v>33877</v>
      </c>
    </row>
    <row r="103" spans="19:19" x14ac:dyDescent="0.35">
      <c r="S103" s="47">
        <v>33785</v>
      </c>
    </row>
    <row r="104" spans="19:19" x14ac:dyDescent="0.35">
      <c r="S104" s="47">
        <v>33694</v>
      </c>
    </row>
    <row r="105" spans="19:19" x14ac:dyDescent="0.35">
      <c r="S105" s="47">
        <v>33603</v>
      </c>
    </row>
    <row r="106" spans="19:19" x14ac:dyDescent="0.35">
      <c r="S106" s="47">
        <v>33511</v>
      </c>
    </row>
    <row r="107" spans="19:19" x14ac:dyDescent="0.35">
      <c r="S107" s="47">
        <v>33419</v>
      </c>
    </row>
    <row r="108" spans="19:19" x14ac:dyDescent="0.35">
      <c r="S108" s="47">
        <v>33328</v>
      </c>
    </row>
    <row r="109" spans="19:19" x14ac:dyDescent="0.35">
      <c r="S109" s="47">
        <v>33238</v>
      </c>
    </row>
    <row r="110" spans="19:19" x14ac:dyDescent="0.35">
      <c r="S110" s="47">
        <v>33146</v>
      </c>
    </row>
    <row r="111" spans="19:19" x14ac:dyDescent="0.35">
      <c r="S111" s="47">
        <v>33054</v>
      </c>
    </row>
    <row r="112" spans="19:19" x14ac:dyDescent="0.35">
      <c r="S112" s="47">
        <v>32963</v>
      </c>
    </row>
    <row r="113" spans="19:19" x14ac:dyDescent="0.35">
      <c r="S113" s="75"/>
    </row>
    <row r="114" spans="19:19" x14ac:dyDescent="0.35">
      <c r="S114" s="75"/>
    </row>
    <row r="115" spans="19:19" x14ac:dyDescent="0.35">
      <c r="S115" s="75"/>
    </row>
    <row r="116" spans="19:19" x14ac:dyDescent="0.35">
      <c r="S116" s="75"/>
    </row>
    <row r="117" spans="19:19" x14ac:dyDescent="0.35">
      <c r="S117" s="75"/>
    </row>
    <row r="118" spans="19:19" x14ac:dyDescent="0.35">
      <c r="S118" s="75"/>
    </row>
    <row r="119" spans="19:19" x14ac:dyDescent="0.35">
      <c r="S119" s="75"/>
    </row>
    <row r="120" spans="19:19" x14ac:dyDescent="0.35">
      <c r="S120" s="75"/>
    </row>
    <row r="121" spans="19:19" x14ac:dyDescent="0.35">
      <c r="S121" s="75"/>
    </row>
    <row r="122" spans="19:19" x14ac:dyDescent="0.35">
      <c r="S122" s="75"/>
    </row>
    <row r="123" spans="19:19" x14ac:dyDescent="0.35">
      <c r="S123" s="75"/>
    </row>
    <row r="124" spans="19:19" x14ac:dyDescent="0.35">
      <c r="S124" s="75"/>
    </row>
    <row r="125" spans="19:19" x14ac:dyDescent="0.35">
      <c r="S125" s="75"/>
    </row>
    <row r="126" spans="19:19" x14ac:dyDescent="0.35">
      <c r="S126" s="75"/>
    </row>
    <row r="127" spans="19:19" x14ac:dyDescent="0.35">
      <c r="S127" s="75"/>
    </row>
    <row r="128" spans="19:19" x14ac:dyDescent="0.35">
      <c r="S128" s="75"/>
    </row>
    <row r="129" spans="19:19" x14ac:dyDescent="0.35">
      <c r="S129" s="75"/>
    </row>
    <row r="130" spans="19:19" x14ac:dyDescent="0.35">
      <c r="S130" s="75"/>
    </row>
    <row r="131" spans="19:19" x14ac:dyDescent="0.35">
      <c r="S131" s="75"/>
    </row>
    <row r="132" spans="19:19" x14ac:dyDescent="0.35">
      <c r="S132" s="75"/>
    </row>
    <row r="133" spans="19:19" x14ac:dyDescent="0.35">
      <c r="S133" s="75"/>
    </row>
    <row r="134" spans="19:19" x14ac:dyDescent="0.35">
      <c r="S134" s="75"/>
    </row>
    <row r="135" spans="19:19" x14ac:dyDescent="0.35">
      <c r="S135" s="75"/>
    </row>
    <row r="136" spans="19:19" x14ac:dyDescent="0.35">
      <c r="S136" s="75"/>
    </row>
    <row r="137" spans="19:19" x14ac:dyDescent="0.35">
      <c r="S137" s="75"/>
    </row>
    <row r="138" spans="19:19" x14ac:dyDescent="0.35">
      <c r="S138" s="75"/>
    </row>
    <row r="139" spans="19:19" x14ac:dyDescent="0.35">
      <c r="S139" s="75"/>
    </row>
    <row r="140" spans="19:19" x14ac:dyDescent="0.35">
      <c r="S140" s="75"/>
    </row>
    <row r="141" spans="19:19" x14ac:dyDescent="0.35">
      <c r="S141" s="75"/>
    </row>
    <row r="142" spans="19:19" x14ac:dyDescent="0.35">
      <c r="S142" s="75"/>
    </row>
    <row r="143" spans="19:19" x14ac:dyDescent="0.35">
      <c r="S143" s="75"/>
    </row>
    <row r="144" spans="19:19" x14ac:dyDescent="0.35">
      <c r="S144" s="75"/>
    </row>
    <row r="145" spans="19:19" x14ac:dyDescent="0.35">
      <c r="S145" s="75"/>
    </row>
    <row r="146" spans="19:19" x14ac:dyDescent="0.35">
      <c r="S146" s="75"/>
    </row>
    <row r="147" spans="19:19" x14ac:dyDescent="0.35">
      <c r="S147" s="75"/>
    </row>
    <row r="148" spans="19:19" x14ac:dyDescent="0.35">
      <c r="S148" s="75"/>
    </row>
    <row r="149" spans="19:19" x14ac:dyDescent="0.35">
      <c r="S149" s="75"/>
    </row>
    <row r="150" spans="19:19" x14ac:dyDescent="0.35">
      <c r="S150" s="75"/>
    </row>
    <row r="151" spans="19:19" x14ac:dyDescent="0.35">
      <c r="S151" s="75"/>
    </row>
    <row r="152" spans="19:19" x14ac:dyDescent="0.35">
      <c r="S152" s="75"/>
    </row>
    <row r="153" spans="19:19" x14ac:dyDescent="0.35">
      <c r="S153" s="75"/>
    </row>
    <row r="154" spans="19:19" x14ac:dyDescent="0.35">
      <c r="S154" s="75"/>
    </row>
    <row r="155" spans="19:19" x14ac:dyDescent="0.35">
      <c r="S155" s="75"/>
    </row>
    <row r="156" spans="19:19" x14ac:dyDescent="0.35">
      <c r="S156" s="75"/>
    </row>
    <row r="157" spans="19:19" x14ac:dyDescent="0.35">
      <c r="S157" s="75"/>
    </row>
    <row r="158" spans="19:19" x14ac:dyDescent="0.35">
      <c r="S158" s="75"/>
    </row>
    <row r="159" spans="19:19" x14ac:dyDescent="0.35">
      <c r="S159" s="75"/>
    </row>
    <row r="160" spans="19:19" x14ac:dyDescent="0.35">
      <c r="S160" s="75"/>
    </row>
    <row r="161" spans="19:19" x14ac:dyDescent="0.35">
      <c r="S161" s="75"/>
    </row>
    <row r="162" spans="19:19" x14ac:dyDescent="0.35">
      <c r="S162" s="75"/>
    </row>
    <row r="163" spans="19:19" x14ac:dyDescent="0.35">
      <c r="S163" s="75"/>
    </row>
    <row r="164" spans="19:19" x14ac:dyDescent="0.35">
      <c r="S164" s="75"/>
    </row>
    <row r="165" spans="19:19" x14ac:dyDescent="0.35">
      <c r="S165" s="75"/>
    </row>
    <row r="166" spans="19:19" x14ac:dyDescent="0.35">
      <c r="S166" s="75"/>
    </row>
    <row r="167" spans="19:19" x14ac:dyDescent="0.35">
      <c r="S167" s="75"/>
    </row>
    <row r="168" spans="19:19" x14ac:dyDescent="0.35">
      <c r="S168" s="75"/>
    </row>
    <row r="169" spans="19:19" x14ac:dyDescent="0.35">
      <c r="S169" s="75"/>
    </row>
    <row r="170" spans="19:19" x14ac:dyDescent="0.35">
      <c r="S170" s="75"/>
    </row>
    <row r="171" spans="19:19" x14ac:dyDescent="0.35">
      <c r="S171" s="75"/>
    </row>
    <row r="172" spans="19:19" x14ac:dyDescent="0.35">
      <c r="S172" s="75"/>
    </row>
    <row r="173" spans="19:19" x14ac:dyDescent="0.35">
      <c r="S173" s="75"/>
    </row>
    <row r="174" spans="19:19" x14ac:dyDescent="0.35">
      <c r="S174" s="75"/>
    </row>
    <row r="175" spans="19:19" x14ac:dyDescent="0.35">
      <c r="S175" s="75"/>
    </row>
    <row r="176" spans="19:19" x14ac:dyDescent="0.35">
      <c r="S176" s="75"/>
    </row>
    <row r="177" spans="19:19" x14ac:dyDescent="0.35">
      <c r="S177" s="75"/>
    </row>
    <row r="178" spans="19:19" x14ac:dyDescent="0.35">
      <c r="S178" s="75"/>
    </row>
    <row r="179" spans="19:19" x14ac:dyDescent="0.35">
      <c r="S179" s="75"/>
    </row>
    <row r="180" spans="19:19" x14ac:dyDescent="0.35">
      <c r="S180" s="75"/>
    </row>
    <row r="181" spans="19:19" x14ac:dyDescent="0.35">
      <c r="S181" s="75"/>
    </row>
    <row r="182" spans="19:19" x14ac:dyDescent="0.35">
      <c r="S182" s="75"/>
    </row>
    <row r="183" spans="19:19" x14ac:dyDescent="0.35">
      <c r="S183" s="75"/>
    </row>
    <row r="184" spans="19:19" x14ac:dyDescent="0.35">
      <c r="S184" s="75"/>
    </row>
    <row r="185" spans="19:19" x14ac:dyDescent="0.35">
      <c r="S185" s="75"/>
    </row>
    <row r="186" spans="19:19" x14ac:dyDescent="0.35">
      <c r="S186" s="75"/>
    </row>
    <row r="187" spans="19:19" x14ac:dyDescent="0.35">
      <c r="S187" s="75"/>
    </row>
    <row r="188" spans="19:19" x14ac:dyDescent="0.35">
      <c r="S188" s="75"/>
    </row>
    <row r="189" spans="19:19" x14ac:dyDescent="0.35">
      <c r="S189" s="75"/>
    </row>
    <row r="190" spans="19:19" x14ac:dyDescent="0.35">
      <c r="S190" s="75"/>
    </row>
    <row r="191" spans="19:19" x14ac:dyDescent="0.35">
      <c r="S191" s="75"/>
    </row>
    <row r="192" spans="19:19" x14ac:dyDescent="0.35">
      <c r="S192" s="75"/>
    </row>
    <row r="193" spans="19:19" x14ac:dyDescent="0.35">
      <c r="S193" s="75"/>
    </row>
    <row r="194" spans="19:19" x14ac:dyDescent="0.35">
      <c r="S194" s="75"/>
    </row>
    <row r="195" spans="19:19" x14ac:dyDescent="0.35">
      <c r="S195" s="75"/>
    </row>
    <row r="196" spans="19:19" x14ac:dyDescent="0.35">
      <c r="S196" s="75"/>
    </row>
    <row r="197" spans="19:19" x14ac:dyDescent="0.35">
      <c r="S197" s="75"/>
    </row>
    <row r="198" spans="19:19" x14ac:dyDescent="0.35">
      <c r="S198" s="75"/>
    </row>
    <row r="199" spans="19:19" x14ac:dyDescent="0.35">
      <c r="S199" s="75"/>
    </row>
    <row r="200" spans="19:19" x14ac:dyDescent="0.35">
      <c r="S200" s="75"/>
    </row>
    <row r="201" spans="19:19" x14ac:dyDescent="0.35">
      <c r="S201" s="75"/>
    </row>
    <row r="202" spans="19:19" x14ac:dyDescent="0.35">
      <c r="S202" s="75"/>
    </row>
    <row r="203" spans="19:19" x14ac:dyDescent="0.35">
      <c r="S203" s="75"/>
    </row>
    <row r="204" spans="19:19" x14ac:dyDescent="0.35">
      <c r="S204" s="75"/>
    </row>
    <row r="205" spans="19:19" x14ac:dyDescent="0.35">
      <c r="S205" s="75"/>
    </row>
    <row r="206" spans="19:19" x14ac:dyDescent="0.35">
      <c r="S206" s="75"/>
    </row>
    <row r="207" spans="19:19" x14ac:dyDescent="0.35">
      <c r="S207" s="75"/>
    </row>
    <row r="208" spans="19:19" x14ac:dyDescent="0.35">
      <c r="S208" s="75"/>
    </row>
    <row r="209" spans="19:19" x14ac:dyDescent="0.35">
      <c r="S209" s="75"/>
    </row>
    <row r="210" spans="19:19" x14ac:dyDescent="0.35">
      <c r="S210" s="75"/>
    </row>
    <row r="211" spans="19:19" x14ac:dyDescent="0.35">
      <c r="S211" s="75"/>
    </row>
    <row r="212" spans="19:19" x14ac:dyDescent="0.35">
      <c r="S212" s="75"/>
    </row>
    <row r="213" spans="19:19" x14ac:dyDescent="0.35">
      <c r="S213" s="75"/>
    </row>
    <row r="214" spans="19:19" x14ac:dyDescent="0.35">
      <c r="S214" s="75"/>
    </row>
    <row r="215" spans="19:19" x14ac:dyDescent="0.35">
      <c r="S215" s="75"/>
    </row>
    <row r="216" spans="19:19" x14ac:dyDescent="0.35">
      <c r="S216" s="75"/>
    </row>
    <row r="217" spans="19:19" x14ac:dyDescent="0.35">
      <c r="S217" s="75"/>
    </row>
    <row r="218" spans="19:19" x14ac:dyDescent="0.35">
      <c r="S218" s="75"/>
    </row>
    <row r="219" spans="19:19" x14ac:dyDescent="0.35">
      <c r="S219" s="75"/>
    </row>
    <row r="220" spans="19:19" x14ac:dyDescent="0.35">
      <c r="S220" s="75"/>
    </row>
  </sheetData>
  <mergeCells count="1">
    <mergeCell ref="E7:I7"/>
  </mergeCells>
  <phoneticPr fontId="1" type="noConversion"/>
  <pageMargins left="0.7" right="0.7" top="0.75" bottom="0.75" header="0.3" footer="0.3"/>
  <pageSetup paperSize="9" orientation="portrait" r:id="rId1"/>
  <customProperties>
    <customPr name="GilTP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70" r:id="rId5" name="StartDD_3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9525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6" name="Drop Down 253">
              <controlPr defaultSize="0" autoLine="0" autoPict="0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7" name="Drop Down 254">
              <controlPr defaultSize="0" autoLine="0" autoPict="0">
                <anchor moveWithCells="1">
                  <from>
                    <xdr:col>5</xdr:col>
                    <xdr:colOff>0</xdr:colOff>
                    <xdr:row>13</xdr:row>
                    <xdr:rowOff>9525</xdr:rowOff>
                  </from>
                  <to>
                    <xdr:col>6</xdr:col>
                    <xdr:colOff>9525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" name="Button 257">
              <controlPr defaultSize="0" print="0" autoFill="0" autoPict="0" macro="[0]!Sheet1.Sheet1_button1_click">
                <anchor moveWithCells="1" sizeWithCells="1">
                  <from>
                    <xdr:col>9</xdr:col>
                    <xdr:colOff>285750</xdr:colOff>
                    <xdr:row>13</xdr:row>
                    <xdr:rowOff>85725</xdr:rowOff>
                  </from>
                  <to>
                    <xdr:col>11</xdr:col>
                    <xdr:colOff>57150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K61"/>
  <sheetViews>
    <sheetView showGridLines="0" workbookViewId="0">
      <pane xSplit="1" topLeftCell="B1" activePane="topRight" state="frozen"/>
      <selection activeCell="E12" sqref="E12"/>
      <selection pane="topRight" activeCell="C13" sqref="C13"/>
    </sheetView>
  </sheetViews>
  <sheetFormatPr defaultRowHeight="16.5" x14ac:dyDescent="0.3"/>
  <cols>
    <col min="1" max="1" width="24" style="95" customWidth="1"/>
    <col min="2" max="17" width="17.25" style="45" bestFit="1" customWidth="1"/>
    <col min="18" max="47" width="16.75" style="45" bestFit="1" customWidth="1"/>
    <col min="48" max="48" width="18.375" style="45" bestFit="1" customWidth="1"/>
    <col min="49" max="60" width="12.375" style="45" bestFit="1" customWidth="1"/>
    <col min="61" max="61" width="13.25" style="45" bestFit="1" customWidth="1"/>
    <col min="62" max="63" width="11.375" style="45" bestFit="1" customWidth="1"/>
    <col min="64" max="64" width="11.625" style="45" bestFit="1" customWidth="1"/>
    <col min="65" max="65" width="12" style="45" bestFit="1" customWidth="1"/>
    <col min="66" max="66" width="11.375" style="45" bestFit="1" customWidth="1"/>
    <col min="67" max="68" width="11.625" style="45" bestFit="1" customWidth="1"/>
    <col min="69" max="69" width="12" style="45" bestFit="1" customWidth="1"/>
    <col min="70" max="72" width="11.375" style="45" bestFit="1" customWidth="1"/>
    <col min="73" max="73" width="11.875" style="45" bestFit="1" customWidth="1"/>
    <col min="74" max="76" width="11.375" style="45" bestFit="1" customWidth="1"/>
    <col min="77" max="77" width="11.875" style="45" bestFit="1" customWidth="1"/>
    <col min="78" max="80" width="11.375" style="45" bestFit="1" customWidth="1"/>
    <col min="81" max="81" width="11.875" style="45" bestFit="1" customWidth="1"/>
    <col min="82" max="84" width="11.375" style="45" bestFit="1" customWidth="1"/>
    <col min="85" max="85" width="11.875" style="45" bestFit="1" customWidth="1"/>
    <col min="86" max="88" width="11.375" style="45" bestFit="1" customWidth="1"/>
    <col min="89" max="89" width="11.875" style="45" bestFit="1" customWidth="1"/>
    <col min="90" max="16384" width="9" style="45"/>
  </cols>
  <sheetData>
    <row r="1" spans="1:89" ht="20.100000000000001" customHeight="1" thickBot="1" x14ac:dyDescent="0.35">
      <c r="A1" s="76" t="s">
        <v>249</v>
      </c>
      <c r="B1" s="99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100"/>
      <c r="Q1" s="100"/>
      <c r="R1" s="100"/>
    </row>
    <row r="2" spans="1:89" x14ac:dyDescent="0.3">
      <c r="A2" s="101" t="str">
        <f>StockCode</f>
        <v>603888.SH</v>
      </c>
      <c r="B2" s="15">
        <v>42735</v>
      </c>
      <c r="C2" s="15">
        <v>42825</v>
      </c>
      <c r="D2" s="15">
        <v>42916</v>
      </c>
      <c r="E2" s="15">
        <v>43008</v>
      </c>
      <c r="F2" s="15">
        <v>43100</v>
      </c>
      <c r="G2" s="15">
        <v>43190</v>
      </c>
      <c r="BT2" s="102"/>
      <c r="BU2" s="102"/>
      <c r="BV2" s="102"/>
      <c r="BW2" s="102"/>
      <c r="BX2" s="102"/>
      <c r="BY2" s="102"/>
      <c r="BZ2" s="102"/>
      <c r="CA2" s="102"/>
      <c r="CB2" s="102"/>
      <c r="CC2" s="102"/>
      <c r="CD2" s="102"/>
      <c r="CE2" s="102"/>
      <c r="CF2" s="102"/>
      <c r="CG2" s="102"/>
      <c r="CH2" s="102"/>
      <c r="CI2" s="102"/>
      <c r="CJ2" s="102"/>
      <c r="CK2" s="102"/>
    </row>
    <row r="3" spans="1:89" x14ac:dyDescent="0.3">
      <c r="A3" s="103" t="str">
        <f>"单位："&amp;首页!V1</f>
        <v>单位：万元</v>
      </c>
      <c r="B3" s="14" t="str">
        <f>"Q" &amp; CEILING(MONTH(B2)/3, 1)</f>
        <v>Q4</v>
      </c>
      <c r="C3" s="14" t="str">
        <f t="shared" ref="C3:G3" si="0">"Q" &amp; CEILING(MONTH(C2)/3, 1)</f>
        <v>Q1</v>
      </c>
      <c r="D3" s="14" t="str">
        <f t="shared" si="0"/>
        <v>Q2</v>
      </c>
      <c r="E3" s="14" t="str">
        <f t="shared" si="0"/>
        <v>Q3</v>
      </c>
      <c r="F3" s="14" t="str">
        <f t="shared" si="0"/>
        <v>Q4</v>
      </c>
      <c r="G3" s="14" t="str">
        <f t="shared" si="0"/>
        <v>Q1</v>
      </c>
      <c r="BT3" s="104"/>
      <c r="BU3" s="104"/>
      <c r="BV3" s="104"/>
      <c r="BW3" s="104"/>
      <c r="BX3" s="104"/>
      <c r="BY3" s="104"/>
      <c r="BZ3" s="104"/>
      <c r="CA3" s="104"/>
      <c r="CB3" s="104"/>
      <c r="CC3" s="104"/>
      <c r="CD3" s="104"/>
      <c r="CE3" s="104"/>
      <c r="CF3" s="104"/>
      <c r="CG3" s="104"/>
      <c r="CH3" s="104"/>
      <c r="CI3" s="104"/>
      <c r="CJ3" s="104"/>
      <c r="CK3" s="104"/>
    </row>
    <row r="4" spans="1:89" s="106" customFormat="1" ht="17.25" x14ac:dyDescent="0.35">
      <c r="A4" s="103"/>
      <c r="B4" s="105" t="s">
        <v>250</v>
      </c>
      <c r="C4" s="105" t="s">
        <v>250</v>
      </c>
      <c r="D4" s="105" t="s">
        <v>250</v>
      </c>
      <c r="E4" s="105" t="s">
        <v>250</v>
      </c>
      <c r="F4" s="105" t="s">
        <v>250</v>
      </c>
      <c r="G4" s="105" t="s">
        <v>250</v>
      </c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105"/>
      <c r="BU4" s="105"/>
      <c r="BV4" s="105"/>
      <c r="BW4" s="105"/>
      <c r="BX4" s="105"/>
      <c r="BY4" s="105"/>
      <c r="BZ4" s="105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</row>
    <row r="5" spans="1:89" s="109" customFormat="1" x14ac:dyDescent="0.3">
      <c r="A5" s="107"/>
      <c r="B5" s="108">
        <f>IF(_xll.GilCalc.CoGilCalc.gCalc("S_E_IS_OPREVENUE",StockCode,TEXT(B$2,"yyyy-mm-dd"),1)=0,0,1)</f>
        <v>1</v>
      </c>
      <c r="C5" s="108">
        <f>IF(_xll.GilCalc.CoGilCalc.gCalc("S_E_IS_OPREVENUE",StockCode,TEXT(C$2,"yyyy-mm-dd"),1)=0,0,1)</f>
        <v>1</v>
      </c>
      <c r="D5" s="108">
        <f>IF(_xll.GilCalc.CoGilCalc.gCalc("S_E_IS_OPREVENUE",StockCode,TEXT(D$2,"yyyy-mm-dd"),1)=0,0,1)</f>
        <v>1</v>
      </c>
      <c r="E5" s="108">
        <f>IF(_xll.GilCalc.CoGilCalc.gCalc("S_E_IS_OPREVENUE",StockCode,TEXT(E$2,"yyyy-mm-dd"),1)=0,0,1)</f>
        <v>1</v>
      </c>
      <c r="F5" s="108">
        <f>IF(_xll.GilCalc.CoGilCalc.gCalc("S_E_IS_OPREVENUE",StockCode,TEXT(F$2,"yyyy-mm-dd"),1)=0,0,1)</f>
        <v>1</v>
      </c>
      <c r="G5" s="108">
        <f>IF(_xll.GilCalc.CoGilCalc.gCalc("S_E_IS_OPREVENUE",StockCode,TEXT(G$2,"yyyy-mm-dd"),1)=0,0,1)</f>
        <v>1</v>
      </c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</row>
    <row r="6" spans="1:89" x14ac:dyDescent="0.3">
      <c r="A6" s="103" t="s">
        <v>32</v>
      </c>
      <c r="B6" s="124">
        <f>_xll.GilCalc.CoGilCalc.gCalc("S_FA_DUPONT_ROE",StockCode,TEXT(B$2,"yyyy-mm-dd"))/100</f>
        <v>0.16366630504708579</v>
      </c>
      <c r="C6" s="124">
        <f>_xll.GilCalc.CoGilCalc.gCalc("S_FA_DUPONT_ROE",StockCode,TEXT(C$2,"yyyy-mm-dd"))/100</f>
        <v>8.7290609256798629E-3</v>
      </c>
      <c r="D6" s="124">
        <f>_xll.GilCalc.CoGilCalc.gCalc("S_FA_DUPONT_ROE",StockCode,TEXT(D$2,"yyyy-mm-dd"))/100</f>
        <v>4.4109379923278437E-2</v>
      </c>
      <c r="E6" s="124">
        <f>_xll.GilCalc.CoGilCalc.gCalc("S_FA_DUPONT_ROE",StockCode,TEXT(E$2,"yyyy-mm-dd"))/100</f>
        <v>6.8338385367971266E-2</v>
      </c>
      <c r="F6" s="124">
        <f>_xll.GilCalc.CoGilCalc.gCalc("S_FA_DUPONT_ROE",StockCode,TEXT(F$2,"yyyy-mm-dd"))/100</f>
        <v>0.11163648658651032</v>
      </c>
      <c r="G6" s="124">
        <f>_xll.GilCalc.CoGilCalc.gCalc("S_FA_DUPONT_ROE",StockCode,TEXT(G$2,"yyyy-mm-dd"))/100</f>
        <v>8.6812435470093458E-3</v>
      </c>
    </row>
    <row r="7" spans="1:89" x14ac:dyDescent="0.3">
      <c r="A7" s="103" t="s">
        <v>251</v>
      </c>
      <c r="B7" s="125">
        <f>_xll.GilCalc.CoGilCalc.gCalc("S_FA_DUPONT_NETPROFITMARGIN",StockCode,B2)*_xll.GilCalc.CoGilCalc.gCalc("S_FA_DUPONT_ASSETSTURN",StockCode,B2)/100</f>
        <v>0.11103980551217826</v>
      </c>
      <c r="C7" s="125">
        <f>_xll.GilCalc.CoGilCalc.gCalc("S_FA_DUPONT_NETPROFITMARGIN",StockCode,C2)*_xll.GilCalc.CoGilCalc.gCalc("S_FA_DUPONT_ASSETSTURN",StockCode,C2)/100</f>
        <v>6.4311167555184913E-3</v>
      </c>
      <c r="D7" s="125">
        <f>_xll.GilCalc.CoGilCalc.gCalc("S_FA_DUPONT_NETPROFITMARGIN",StockCode,D2)*_xll.GilCalc.CoGilCalc.gCalc("S_FA_DUPONT_ASSETSTURN",StockCode,D2)/100</f>
        <v>3.1331312476991578E-2</v>
      </c>
      <c r="E7" s="125">
        <f>_xll.GilCalc.CoGilCalc.gCalc("S_FA_DUPONT_NETPROFITMARGIN",StockCode,E2)*_xll.GilCalc.CoGilCalc.gCalc("S_FA_DUPONT_ASSETSTURN",StockCode,E2)/100</f>
        <v>5.0261794968405521E-2</v>
      </c>
      <c r="F7" s="125">
        <f>_xll.GilCalc.CoGilCalc.gCalc("S_FA_DUPONT_NETPROFITMARGIN",StockCode,F2)*_xll.GilCalc.CoGilCalc.gCalc("S_FA_DUPONT_ASSETSTURN",StockCode,F2)/100</f>
        <v>8.028999747339767E-2</v>
      </c>
      <c r="G7" s="125">
        <f>_xll.GilCalc.CoGilCalc.gCalc("S_FA_DUPONT_NETPROFITMARGIN",StockCode,G2)*_xll.GilCalc.CoGilCalc.gCalc("S_FA_DUPONT_ASSETSTURN",StockCode,G2)/100</f>
        <v>6.2056304226753203E-3</v>
      </c>
    </row>
    <row r="8" spans="1:89" x14ac:dyDescent="0.3">
      <c r="A8" s="103" t="s">
        <v>252</v>
      </c>
      <c r="B8" s="117">
        <f>_xll.GilCalc.CoGilCalc.gCalc("S_FA_DUPONT_ASSETSTOEQUITY",StockCode,TEXT(B$2,"yyyy-mm-dd"))</f>
        <v>1.4739426486939915</v>
      </c>
      <c r="C8" s="117">
        <f>_xll.GilCalc.CoGilCalc.gCalc("S_FA_DUPONT_ASSETSTOEQUITY",StockCode,TEXT(C$2,"yyyy-mm-dd"))</f>
        <v>1.3779623231238609</v>
      </c>
      <c r="D8" s="117">
        <f>_xll.GilCalc.CoGilCalc.gCalc("S_FA_DUPONT_ASSETSTOEQUITY",StockCode,TEXT(D$2,"yyyy-mm-dd"))</f>
        <v>1.4075909237692528</v>
      </c>
      <c r="E8" s="117">
        <f>_xll.GilCalc.CoGilCalc.gCalc("S_FA_DUPONT_ASSETSTOEQUITY",StockCode,TEXT(E$2,"yyyy-mm-dd"))</f>
        <v>1.3712338725934146</v>
      </c>
      <c r="F8" s="117">
        <f>_xll.GilCalc.CoGilCalc.gCalc("S_FA_DUPONT_ASSETSTOEQUITY",StockCode,TEXT(F$2,"yyyy-mm-dd"))</f>
        <v>1.3844257193261742</v>
      </c>
      <c r="G8" s="117">
        <f>_xll.GilCalc.CoGilCalc.gCalc("S_FA_DUPONT_ASSETSTOEQUITY",StockCode,TEXT(G$2,"yyyy-mm-dd"))</f>
        <v>1.3533357592216519</v>
      </c>
    </row>
    <row r="9" spans="1:89" x14ac:dyDescent="0.3">
      <c r="A9" s="103" t="s">
        <v>253</v>
      </c>
      <c r="B9" s="125">
        <f>_xll.GilCalc.CoGilCalc.gCalc("S_FA_DUPONT_NETPROFITMARGIN",StockCode,TEXT(B$2,"yyyy-mm-dd"))/100</f>
        <v>0.20577765708593282</v>
      </c>
      <c r="C9" s="125">
        <f>_xll.GilCalc.CoGilCalc.gCalc("S_FA_DUPONT_NETPROFITMARGIN",StockCode,TEXT(C$2,"yyyy-mm-dd"))/100</f>
        <v>0.10293065187258429</v>
      </c>
      <c r="D9" s="125">
        <f>_xll.GilCalc.CoGilCalc.gCalc("S_FA_DUPONT_NETPROFITMARGIN",StockCode,TEXT(D$2,"yyyy-mm-dd"))/100</f>
        <v>0.19017289931950401</v>
      </c>
      <c r="E9" s="125">
        <f>_xll.GilCalc.CoGilCalc.gCalc("S_FA_DUPONT_NETPROFITMARGIN",StockCode,TEXT(E$2,"yyyy-mm-dd"))/100</f>
        <v>0.19103997491224148</v>
      </c>
      <c r="F9" s="125">
        <f>_xll.GilCalc.CoGilCalc.gCalc("S_FA_DUPONT_NETPROFITMARGIN",StockCode,TEXT(F$2,"yyyy-mm-dd"))/100</f>
        <v>0.18818871515344163</v>
      </c>
      <c r="G9" s="125">
        <f>_xll.GilCalc.CoGilCalc.gCalc("S_FA_DUPONT_NETPROFITMARGIN",StockCode,TEXT(G$2,"yyyy-mm-dd"))/100</f>
        <v>9.3617654518584892E-2</v>
      </c>
    </row>
    <row r="10" spans="1:89" x14ac:dyDescent="0.3">
      <c r="A10" s="103" t="s">
        <v>254</v>
      </c>
      <c r="B10" s="117">
        <f>_xll.GilCalc.CoGilCalc.gCalc("S_FA_DUPONT_ASSETSTURN",StockCode,TEXT(B$2,"yyyy-mm-dd"))</f>
        <v>0.5396106024562618</v>
      </c>
      <c r="C10" s="117">
        <f>_xll.GilCalc.CoGilCalc.gCalc("S_FA_DUPONT_ASSETSTURN",StockCode,TEXT(C$2,"yyyy-mm-dd"))</f>
        <v>6.2480093524321947E-2</v>
      </c>
      <c r="D10" s="117">
        <f>_xll.GilCalc.CoGilCalc.gCalc("S_FA_DUPONT_ASSETSTURN",StockCode,TEXT(D$2,"yyyy-mm-dd"))</f>
        <v>0.16475172113957595</v>
      </c>
      <c r="E10" s="117">
        <f>_xll.GilCalc.CoGilCalc.gCalc("S_FA_DUPONT_ASSETSTURN",StockCode,TEXT(E$2,"yyyy-mm-dd"))</f>
        <v>0.26309569497951624</v>
      </c>
      <c r="F10" s="117">
        <f>_xll.GilCalc.CoGilCalc.gCalc("S_FA_DUPONT_ASSETSTURN",StockCode,TEXT(F$2,"yyyy-mm-dd"))</f>
        <v>0.42664618549487615</v>
      </c>
      <c r="G10" s="117">
        <f>_xll.GilCalc.CoGilCalc.gCalc("S_FA_DUPONT_ASSETSTURN",StockCode,TEXT(G$2,"yyyy-mm-dd"))</f>
        <v>6.6286967501876307E-2</v>
      </c>
    </row>
    <row r="11" spans="1:89" x14ac:dyDescent="0.3">
      <c r="A11" s="103" t="s">
        <v>255</v>
      </c>
      <c r="B11" s="125">
        <f>_xll.GilCalc.CoGilCalc.gCalc("S_FA_DEBTTOASSETS",StockCode,TEXT(B$2,"yyyy-mm-dd"))/100</f>
        <v>0.28150554303771297</v>
      </c>
      <c r="C11" s="125">
        <f>_xll.GilCalc.CoGilCalc.gCalc("S_FA_DEBTTOASSETS",StockCode,TEXT(C$2,"yyyy-mm-dd"))/100</f>
        <v>0.25991113206084726</v>
      </c>
      <c r="D11" s="125">
        <f>_xll.GilCalc.CoGilCalc.gCalc("S_FA_DEBTTOASSETS",StockCode,TEXT(D$2,"yyyy-mm-dd"))/100</f>
        <v>0.25526471339224355</v>
      </c>
      <c r="E11" s="125">
        <f>_xll.GilCalc.CoGilCalc.gCalc("S_FA_DEBTTOASSETS",StockCode,TEXT(E$2,"yyyy-mm-dd"))/100</f>
        <v>0.24269108040836557</v>
      </c>
      <c r="F11" s="125">
        <f>_xll.GilCalc.CoGilCalc.gCalc("S_FA_DEBTTOASSETS",StockCode,TEXT(F$2,"yyyy-mm-dd"))/100</f>
        <v>0.26381246448864543</v>
      </c>
      <c r="G11" s="125">
        <f>_xll.GilCalc.CoGilCalc.gCalc("S_FA_DEBTTOASSETS",StockCode,TEXT(G$2,"yyyy-mm-dd"))/100</f>
        <v>0.23708341193760721</v>
      </c>
    </row>
    <row r="12" spans="1:89" x14ac:dyDescent="0.3">
      <c r="A12" s="103" t="s">
        <v>33</v>
      </c>
      <c r="B12" s="124">
        <f>IFERROR(B13/B14,0)</f>
        <v>1</v>
      </c>
      <c r="C12" s="124">
        <f t="shared" ref="C12:G12" si="1">IFERROR(C13/C14,0)</f>
        <v>0.98501713975811789</v>
      </c>
      <c r="D12" s="124">
        <f t="shared" si="1"/>
        <v>1.0001747972514259</v>
      </c>
      <c r="E12" s="124">
        <f t="shared" si="1"/>
        <v>0.99155129598415392</v>
      </c>
      <c r="F12" s="124">
        <f t="shared" si="1"/>
        <v>1.0043268116955093</v>
      </c>
      <c r="G12" s="124">
        <f t="shared" si="1"/>
        <v>1.0336903819759033</v>
      </c>
    </row>
    <row r="13" spans="1:89" x14ac:dyDescent="0.3">
      <c r="A13" s="103" t="s">
        <v>256</v>
      </c>
      <c r="B13" s="118">
        <f>_xll.GilCalc.CoGilCalc.gCalc("S_E_IS_NPPARENT",StockCode,TEXT(B$2,"yyyy-mm-dd"),B$5)/unit</f>
        <v>28013.684039999996</v>
      </c>
      <c r="C13" s="118">
        <f>_xll.GilCalc.CoGilCalc.gCalc("S_E_IS_NPPARENT",StockCode,TEXT(C$2,"yyyy-mm-dd"),C$5)/unit</f>
        <v>2094.2802999999999</v>
      </c>
      <c r="D13" s="118">
        <f>_xll.GilCalc.CoGilCalc.gCalc("S_E_IS_NPPARENT",StockCode,TEXT(D$2,"yyyy-mm-dd"),D$5)/unit</f>
        <v>10705.660581999999</v>
      </c>
      <c r="E13" s="118">
        <f>_xll.GilCalc.CoGilCalc.gCalc("S_E_IS_NPPARENT",StockCode,TEXT(E$2,"yyyy-mm-dd"),E$5)/unit</f>
        <v>17083.378070999999</v>
      </c>
      <c r="F13" s="118">
        <f>_xll.GilCalc.CoGilCalc.gCalc("S_E_IS_NPPARENT",StockCode,TEXT(F$2,"yyyy-mm-dd"),F$5)/unit</f>
        <v>28396.128092999999</v>
      </c>
      <c r="G13" s="118">
        <f>_xll.GilCalc.CoGilCalc.gCalc("S_E_IS_NPPARENT",StockCode,TEXT(G$2,"yyyy-mm-dd"),G$5)/unit</f>
        <v>2372.5682079999997</v>
      </c>
    </row>
    <row r="14" spans="1:89" x14ac:dyDescent="0.3">
      <c r="A14" s="103" t="s">
        <v>257</v>
      </c>
      <c r="B14" s="117">
        <f>_xll.GilCalc.CoGilCalc.gCalc("S_E_IS_NETPROFIT",StockCode,TEXT(B$2,"yyyy-mm-dd"),B$5)/unit</f>
        <v>28013.684039999996</v>
      </c>
      <c r="C14" s="117">
        <f>_xll.GilCalc.CoGilCalc.gCalc("S_E_IS_NETPROFIT",StockCode,TEXT(C$2,"yyyy-mm-dd"),C$5)/unit</f>
        <v>2126.1358969999997</v>
      </c>
      <c r="D14" s="117">
        <f>_xll.GilCalc.CoGilCalc.gCalc("S_E_IS_NETPROFIT",StockCode,TEXT(D$2,"yyyy-mm-dd"),D$5)/unit</f>
        <v>10703.789589</v>
      </c>
      <c r="E14" s="117">
        <f>_xll.GilCalc.CoGilCalc.gCalc("S_E_IS_NETPROFIT",StockCode,TEXT(E$2,"yyyy-mm-dd"),E$5)/unit</f>
        <v>17228.940287999998</v>
      </c>
      <c r="F14" s="117">
        <f>_xll.GilCalc.CoGilCalc.gCalc("S_E_IS_NETPROFIT",StockCode,TEXT(F$2,"yyyy-mm-dd"),F$5)/unit</f>
        <v>28273.792716000004</v>
      </c>
      <c r="G14" s="117">
        <f>_xll.GilCalc.CoGilCalc.gCalc("S_E_IS_NETPROFIT",StockCode,TEXT(G$2,"yyyy-mm-dd"),G$5)/unit</f>
        <v>2295.2406730000002</v>
      </c>
    </row>
    <row r="15" spans="1:89" x14ac:dyDescent="0.3">
      <c r="A15" s="103" t="s">
        <v>258</v>
      </c>
      <c r="B15" s="118">
        <f>_xll.GilCalc.CoGilCalc.gCalc("S_E_IS_GROSSREVENUE",StockCode,TEXT(B$2,"yyyy-mm-dd"),B$5)/unit</f>
        <v>136135.69343099999</v>
      </c>
      <c r="C15" s="118">
        <f>_xll.GilCalc.CoGilCalc.gCalc("S_E_IS_GROSSREVENUE",StockCode,TEXT(C$2,"yyyy-mm-dd"),C$5)/unit</f>
        <v>20656.003419000001</v>
      </c>
      <c r="D15" s="118">
        <f>_xll.GilCalc.CoGilCalc.gCalc("S_E_IS_GROSSREVENUE",StockCode,TEXT(D$2,"yyyy-mm-dd"),D$5)/unit</f>
        <v>56284.515971000001</v>
      </c>
      <c r="E15" s="118">
        <f>_xll.GilCalc.CoGilCalc.gCalc("S_E_IS_GROSSREVENUE",StockCode,TEXT(E$2,"yyyy-mm-dd"),E$5)/unit</f>
        <v>90185.000788000005</v>
      </c>
      <c r="F15" s="118">
        <f>_xll.GilCalc.CoGilCalc.gCalc("S_E_IS_GROSSREVENUE",StockCode,TEXT(F$2,"yyyy-mm-dd"),F$5)/unit</f>
        <v>150172.92898699999</v>
      </c>
      <c r="G15" s="118">
        <f>_xll.GilCalc.CoGilCalc.gCalc("S_E_IS_GROSSREVENUE",StockCode,TEXT(G$2,"yyyy-mm-dd"),G$5)/unit</f>
        <v>24517.177713999998</v>
      </c>
    </row>
    <row r="16" spans="1:89" x14ac:dyDescent="0.3">
      <c r="A16" s="103" t="s">
        <v>259</v>
      </c>
      <c r="B16" s="117">
        <f>((_xll.GilCalc.CoGilCalc.gCalc("S_E_BS_TOTALASSETS",StockCode,YEAR(TEXT(B$2,"yyyy-mm-dd"))-1&amp;"-12-31",B$5)+_xll.GilCalc.CoGilCalc.gCalc("S_E_BS_TOTALASSETS",StockCode,TEXT(B$2,"yyyy-mm-dd"),B$5))/2)/unit</f>
        <v>252285.06039600002</v>
      </c>
      <c r="C16" s="117">
        <f>((_xll.GilCalc.CoGilCalc.gCalc("S_E_BS_TOTALASSETS",StockCode,YEAR(TEXT(C$2,"yyyy-mm-dd"))-1&amp;"-12-31",C$5)+_xll.GilCalc.CoGilCalc.gCalc("S_E_BS_TOTALASSETS",StockCode,TEXT(C$2,"yyyy-mm-dd"),C$5))/2)/unit</f>
        <v>164143.5594265</v>
      </c>
      <c r="D16" s="117">
        <f>((_xll.GilCalc.CoGilCalc.gCalc("S_E_BS_TOTALASSETS",StockCode,YEAR(TEXT(D$2,"yyyy-mm-dd"))-1&amp;"-12-31",D$5)+_xll.GilCalc.CoGilCalc.gCalc("S_E_BS_TOTALASSETS",StockCode,TEXT(D$2,"yyyy-mm-dd"),D$5))/2)/unit</f>
        <v>164143.5594265</v>
      </c>
      <c r="E16" s="117">
        <f>((_xll.GilCalc.CoGilCalc.gCalc("S_E_BS_TOTALASSETS",StockCode,YEAR(TEXT(E$2,"yyyy-mm-dd"))-1&amp;"-12-31",E$5)+_xll.GilCalc.CoGilCalc.gCalc("S_E_BS_TOTALASSETS",StockCode,TEXT(E$2,"yyyy-mm-dd"),E$5))/2)/unit</f>
        <v>164143.5594265</v>
      </c>
      <c r="F16" s="117">
        <f>((_xll.GilCalc.CoGilCalc.gCalc("S_E_BS_TOTALASSETS",StockCode,YEAR(TEXT(F$2,"yyyy-mm-dd"))-1&amp;"-12-31",F$5)+_xll.GilCalc.CoGilCalc.gCalc("S_E_BS_TOTALASSETS",StockCode,TEXT(F$2,"yyyy-mm-dd"),F$5))/2)/unit</f>
        <v>352145.89121599996</v>
      </c>
      <c r="G16" s="117">
        <f>((_xll.GilCalc.CoGilCalc.gCalc("S_E_BS_TOTALASSETS",StockCode,YEAR(TEXT(G$2,"yyyy-mm-dd"))-1&amp;"-12-31",G$5)+_xll.GilCalc.CoGilCalc.gCalc("S_E_BS_TOTALASSETS",StockCode,TEXT(G$2,"yyyy-mm-dd"),G$5))/2)/unit</f>
        <v>188002.33178949999</v>
      </c>
    </row>
    <row r="17" spans="1:22" x14ac:dyDescent="0.3">
      <c r="A17" s="103" t="s">
        <v>260</v>
      </c>
      <c r="B17" s="118">
        <f>_xll.GilCalc.CoGilCalc.gCalc("S_E_BS_TOTALLIABILITY",StockCode,TEXT(B$2,"yyyy-mm-dd"),IF(_xll.GilCalc.CoGilCalc.gCalc("S_E_BS_TOTALASSETS",StockCode,TEXT(B$2,"yyyy-mm-dd"),1)=0,0,1))/unit</f>
        <v>92414.643664999996</v>
      </c>
      <c r="C17" s="118">
        <f>_xll.GilCalc.CoGilCalc.gCalc("S_E_BS_TOTALLIABILITY",StockCode,TEXT(C$2,"yyyy-mm-dd"),IF(_xll.GilCalc.CoGilCalc.gCalc("S_E_BS_TOTALASSETS",StockCode,TEXT(C$2,"yyyy-mm-dd"),1)=0,0,1))/unit</f>
        <v>86528.466839000001</v>
      </c>
      <c r="D17" s="118">
        <f>_xll.GilCalc.CoGilCalc.gCalc("S_E_BS_TOTALLIABILITY",StockCode,TEXT(D$2,"yyyy-mm-dd"),IF(_xll.GilCalc.CoGilCalc.gCalc("S_E_BS_TOTALASSETS",StockCode,TEXT(D$2,"yyyy-mm-dd"),1)=0,0,1))/unit</f>
        <v>90613.245279999988</v>
      </c>
      <c r="E17" s="118">
        <f>_xll.GilCalc.CoGilCalc.gCalc("S_E_BS_TOTALLIABILITY",StockCode,TEXT(E$2,"yyyy-mm-dd"),IF(_xll.GilCalc.CoGilCalc.gCalc("S_E_BS_TOTALASSETS",StockCode,TEXT(E$2,"yyyy-mm-dd"),1)=0,0,1))/unit</f>
        <v>86708.894272000005</v>
      </c>
      <c r="F17" s="118">
        <f>_xll.GilCalc.CoGilCalc.gCalc("S_E_BS_TOTALLIABILITY",StockCode,TEXT(F$2,"yyyy-mm-dd"),IF(_xll.GilCalc.CoGilCalc.gCalc("S_E_BS_TOTALASSETS",StockCode,TEXT(F$2,"yyyy-mm-dd"),1)=0,0,1))/unit</f>
        <v>99194.716958000005</v>
      </c>
      <c r="G17" s="118">
        <f>_xll.GilCalc.CoGilCalc.gCalc("S_E_BS_TOTALLIABILITY",StockCode,TEXT(G$2,"yyyy-mm-dd"),IF(_xll.GilCalc.CoGilCalc.gCalc("S_E_BS_TOTALASSETS",StockCode,TEXT(G$2,"yyyy-mm-dd"),1)=0,0,1))/unit</f>
        <v>86232.875224000003</v>
      </c>
    </row>
    <row r="18" spans="1:22" x14ac:dyDescent="0.3">
      <c r="A18" s="103" t="s">
        <v>261</v>
      </c>
      <c r="B18" s="117">
        <f>_xll.GilCalc.CoGilCalc.gCalc("S_E_BS_TOTALASSETS",StockCode,TEXT(B$2,"yyyy-mm-dd"),IF(_xll.GilCalc.CoGilCalc.gCalc("S_E_BS_TOTALASSETS",StockCode,TEXT(B$2,"yyyy-mm-dd"),1)=0,0,1))/unit</f>
        <v>328287.11885299999</v>
      </c>
      <c r="C18" s="117">
        <f>_xll.GilCalc.CoGilCalc.gCalc("S_E_BS_TOTALASSETS",StockCode,TEXT(C$2,"yyyy-mm-dd"),IF(_xll.GilCalc.CoGilCalc.gCalc("S_E_BS_TOTALASSETS",StockCode,TEXT(C$2,"yyyy-mm-dd"),1)=0,0,1))/unit</f>
        <v>332915.58600399998</v>
      </c>
      <c r="D18" s="117">
        <f>_xll.GilCalc.CoGilCalc.gCalc("S_E_BS_TOTALASSETS",StockCode,TEXT(D$2,"yyyy-mm-dd"),IF(_xll.GilCalc.CoGilCalc.gCalc("S_E_BS_TOTALASSETS",StockCode,TEXT(D$2,"yyyy-mm-dd"),1)=0,0,1))/unit</f>
        <v>354977.56065</v>
      </c>
      <c r="E18" s="117">
        <f>_xll.GilCalc.CoGilCalc.gCalc("S_E_BS_TOTALASSETS",StockCode,TEXT(E$2,"yyyy-mm-dd"),IF(_xll.GilCalc.CoGilCalc.gCalc("S_E_BS_TOTALASSETS",StockCode,TEXT(E$2,"yyyy-mm-dd"),1)=0,0,1))/unit</f>
        <v>357280.92736700003</v>
      </c>
      <c r="F18" s="117">
        <f>_xll.GilCalc.CoGilCalc.gCalc("S_E_BS_TOTALASSETS",StockCode,TEXT(F$2,"yyyy-mm-dd"),IF(_xll.GilCalc.CoGilCalc.gCalc("S_E_BS_TOTALASSETS",StockCode,TEXT(F$2,"yyyy-mm-dd"),1)=0,0,1))/unit</f>
        <v>376004.66357899999</v>
      </c>
      <c r="G18" s="117">
        <f>_xll.GilCalc.CoGilCalc.gCalc("S_E_BS_TOTALASSETS",StockCode,TEXT(G$2,"yyyy-mm-dd"),IF(_xll.GilCalc.CoGilCalc.gCalc("S_E_BS_TOTALASSETS",StockCode,TEXT(G$2,"yyyy-mm-dd"),1)=0,0,1))/unit</f>
        <v>363723.78193499998</v>
      </c>
    </row>
    <row r="19" spans="1:22" x14ac:dyDescent="0.3">
      <c r="A19" s="103" t="s">
        <v>262</v>
      </c>
      <c r="B19" s="118">
        <f>_xll.GilCalc.CoGilCalc.gCalc("S_E_IS_GROSSCOST",StockCode,TEXT(B$2,"yyyy-mm-dd"),B$5)/unit</f>
        <v>108254.43439099999</v>
      </c>
      <c r="C19" s="118">
        <f>_xll.GilCalc.CoGilCalc.gCalc("S_E_IS_GROSSCOST",StockCode,TEXT(C$2,"yyyy-mm-dd"),C$5)/unit</f>
        <v>19212.674471999999</v>
      </c>
      <c r="D19" s="118">
        <f>_xll.GilCalc.CoGilCalc.gCalc("S_E_IS_GROSSCOST",StockCode,TEXT(D$2,"yyyy-mm-dd"),D$5)/unit</f>
        <v>49803.157623999999</v>
      </c>
      <c r="E19" s="118">
        <f>_xll.GilCalc.CoGilCalc.gCalc("S_E_IS_GROSSCOST",StockCode,TEXT(E$2,"yyyy-mm-dd"),E$5)/unit</f>
        <v>81867.957601999995</v>
      </c>
      <c r="F19" s="118">
        <f>_xll.GilCalc.CoGilCalc.gCalc("S_E_IS_GROSSCOST",StockCode,TEXT(F$2,"yyyy-mm-dd"),F$5)/unit</f>
        <v>135116.09228399998</v>
      </c>
      <c r="G19" s="118">
        <f>_xll.GilCalc.CoGilCalc.gCalc("S_E_IS_GROSSCOST",StockCode,TEXT(G$2,"yyyy-mm-dd"),G$5)/unit</f>
        <v>22445.767750999999</v>
      </c>
    </row>
    <row r="20" spans="1:22" x14ac:dyDescent="0.3">
      <c r="A20" s="103" t="s">
        <v>263</v>
      </c>
      <c r="B20" s="117">
        <f>(_xll.GilCalc.CoGilCalc.gCalc("S_E_IS_GROSSCOST",StockCode,TEXT(B$2,"yyyy-mm-dd"),B$5)+_xll.GilCalc.CoGilCalc.gCalc("S_E_IS_TOTALPROFIT",StockCode,TEXT(B$2,"yyyy-mm-dd"),B$5)-_xll.GilCalc.CoGilCalc.gCalc("S_E_IS_GROSSREVENUE",StockCode,TEXT(B$2,"yyyy-mm-dd"),B$5))/unit</f>
        <v>188.71442599997519</v>
      </c>
      <c r="C20" s="117">
        <f>(_xll.GilCalc.CoGilCalc.gCalc("S_E_IS_GROSSCOST",StockCode,TEXT(C$2,"yyyy-mm-dd"),C$5)+_xll.GilCalc.CoGilCalc.gCalc("S_E_IS_TOTALPROFIT",StockCode,TEXT(C$2,"yyyy-mm-dd"),C$5)-_xll.GilCalc.CoGilCalc.gCalc("S_E_IS_GROSSREVENUE",StockCode,TEXT(C$2,"yyyy-mm-dd"),C$5))/unit</f>
        <v>731.05644099999961</v>
      </c>
      <c r="D20" s="117">
        <f>(_xll.GilCalc.CoGilCalc.gCalc("S_E_IS_GROSSCOST",StockCode,TEXT(D$2,"yyyy-mm-dd"),D$5)+_xll.GilCalc.CoGilCalc.gCalc("S_E_IS_TOTALPROFIT",StockCode,TEXT(D$2,"yyyy-mm-dd"),D$5)-_xll.GilCalc.CoGilCalc.gCalc("S_E_IS_GROSSREVENUE",StockCode,TEXT(D$2,"yyyy-mm-dd"),D$5))/unit</f>
        <v>4287.4791069999937</v>
      </c>
      <c r="E20" s="117">
        <f>(_xll.GilCalc.CoGilCalc.gCalc("S_E_IS_GROSSCOST",StockCode,TEXT(E$2,"yyyy-mm-dd"),E$5)+_xll.GilCalc.CoGilCalc.gCalc("S_E_IS_TOTALPROFIT",StockCode,TEXT(E$2,"yyyy-mm-dd"),E$5)-_xll.GilCalc.CoGilCalc.gCalc("S_E_IS_GROSSREVENUE",StockCode,TEXT(E$2,"yyyy-mm-dd"),E$5))/unit</f>
        <v>9087.7532139999985</v>
      </c>
      <c r="F20" s="117">
        <f>(_xll.GilCalc.CoGilCalc.gCalc("S_E_IS_GROSSCOST",StockCode,TEXT(F$2,"yyyy-mm-dd"),F$5)+_xll.GilCalc.CoGilCalc.gCalc("S_E_IS_TOTALPROFIT",StockCode,TEXT(F$2,"yyyy-mm-dd"),F$5)-_xll.GilCalc.CoGilCalc.gCalc("S_E_IS_GROSSREVENUE",StockCode,TEXT(F$2,"yyyy-mm-dd"),F$5))/unit</f>
        <v>13386.958975</v>
      </c>
      <c r="G20" s="117">
        <f>(_xll.GilCalc.CoGilCalc.gCalc("S_E_IS_GROSSCOST",StockCode,TEXT(G$2,"yyyy-mm-dd"),G$5)+_xll.GilCalc.CoGilCalc.gCalc("S_E_IS_TOTALPROFIT",StockCode,TEXT(G$2,"yyyy-mm-dd"),G$5)-_xll.GilCalc.CoGilCalc.gCalc("S_E_IS_GROSSREVENUE",StockCode,TEXT(G$2,"yyyy-mm-dd"),G$5))/unit</f>
        <v>243.88381599999965</v>
      </c>
    </row>
    <row r="21" spans="1:22" x14ac:dyDescent="0.3">
      <c r="A21" s="103" t="s">
        <v>264</v>
      </c>
      <c r="B21" s="118">
        <f>_xll.GilCalc.CoGilCalc.gCalc("S_E_IS_TAXCOST",StockCode,TEXT(B$2,"yyyy-mm-dd"),B$5)/unit</f>
        <v>56.289425999999999</v>
      </c>
      <c r="C21" s="118">
        <f>_xll.GilCalc.CoGilCalc.gCalc("S_E_IS_TAXCOST",StockCode,TEXT(C$2,"yyyy-mm-dd"),C$5)/unit</f>
        <v>48.249490999999999</v>
      </c>
      <c r="D21" s="118">
        <f>_xll.GilCalc.CoGilCalc.gCalc("S_E_IS_TAXCOST",StockCode,TEXT(D$2,"yyyy-mm-dd"),D$5)/unit</f>
        <v>65.047865000000002</v>
      </c>
      <c r="E21" s="118">
        <f>_xll.GilCalc.CoGilCalc.gCalc("S_E_IS_TAXCOST",StockCode,TEXT(E$2,"yyyy-mm-dd"),E$5)/unit</f>
        <v>175.85611200000002</v>
      </c>
      <c r="F21" s="118">
        <f>_xll.GilCalc.CoGilCalc.gCalc("S_E_IS_TAXCOST",StockCode,TEXT(F$2,"yyyy-mm-dd"),F$5)/unit</f>
        <v>170.00296200000003</v>
      </c>
      <c r="G21" s="118">
        <f>_xll.GilCalc.CoGilCalc.gCalc("S_E_IS_TAXCOST",StockCode,TEXT(G$2,"yyyy-mm-dd"),G$5)/unit</f>
        <v>20.053106</v>
      </c>
    </row>
    <row r="22" spans="1:22" x14ac:dyDescent="0.3">
      <c r="A22" s="103" t="s">
        <v>265</v>
      </c>
      <c r="B22" s="117">
        <f>_xll.GilCalc.CoGilCalc.gCalc("S_E_BS_TOTALCURRLIABILITY",StockCode,TEXT(B$2,"yyyy-mm-dd"),IF(_xll.GilCalc.CoGilCalc.gCalc("S_E_BS_TOTALASSETS",StockCode,TEXT(B$2,"yyyy-mm-dd"),1)=0,0,1))/unit</f>
        <v>37589.425504999999</v>
      </c>
      <c r="C22" s="117">
        <f>_xll.GilCalc.CoGilCalc.gCalc("S_E_BS_TOTALCURRLIABILITY",StockCode,TEXT(C$2,"yyyy-mm-dd"),IF(_xll.GilCalc.CoGilCalc.gCalc("S_E_BS_TOTALASSETS",StockCode,TEXT(C$2,"yyyy-mm-dd"),1)=0,0,1))/unit</f>
        <v>35377.951586000003</v>
      </c>
      <c r="D22" s="117">
        <f>_xll.GilCalc.CoGilCalc.gCalc("S_E_BS_TOTALCURRLIABILITY",StockCode,TEXT(D$2,"yyyy-mm-dd"),IF(_xll.GilCalc.CoGilCalc.gCalc("S_E_BS_TOTALASSETS",StockCode,TEXT(D$2,"yyyy-mm-dd"),1)=0,0,1))/unit</f>
        <v>41485.990933999994</v>
      </c>
      <c r="E22" s="117">
        <f>_xll.GilCalc.CoGilCalc.gCalc("S_E_BS_TOTALCURRLIABILITY",StockCode,TEXT(E$2,"yyyy-mm-dd"),IF(_xll.GilCalc.CoGilCalc.gCalc("S_E_BS_TOTALASSETS",StockCode,TEXT(E$2,"yyyy-mm-dd"),1)=0,0,1))/unit</f>
        <v>34789.921833</v>
      </c>
      <c r="F22" s="117">
        <f>_xll.GilCalc.CoGilCalc.gCalc("S_E_BS_TOTALCURRLIABILITY",StockCode,TEXT(F$2,"yyyy-mm-dd"),IF(_xll.GilCalc.CoGilCalc.gCalc("S_E_BS_TOTALASSETS",StockCode,TEXT(F$2,"yyyy-mm-dd"),1)=0,0,1))/unit</f>
        <v>46356.776425999997</v>
      </c>
      <c r="G22" s="117">
        <f>_xll.GilCalc.CoGilCalc.gCalc("S_E_BS_TOTALCURRLIABILITY",StockCode,TEXT(G$2,"yyyy-mm-dd"),IF(_xll.GilCalc.CoGilCalc.gCalc("S_E_BS_TOTALASSETS",StockCode,TEXT(G$2,"yyyy-mm-dd"),1)=0,0,1))/unit</f>
        <v>33859.565194999996</v>
      </c>
    </row>
    <row r="23" spans="1:22" x14ac:dyDescent="0.3">
      <c r="A23" s="103" t="s">
        <v>266</v>
      </c>
      <c r="B23" s="118">
        <f>_xll.GilCalc.CoGilCalc.gCalc("S_E_BS_TOTALNONCURRLIABILITY",StockCode,TEXT(B$2,"yyyy-mm-dd"),IF(_xll.GilCalc.CoGilCalc.gCalc("S_E_BS_TOTALASSETS",StockCode,TEXT(B$2,"yyyy-mm-dd"),1)=0,0,1))/unit</f>
        <v>54825.218160000004</v>
      </c>
      <c r="C23" s="118">
        <f>_xll.GilCalc.CoGilCalc.gCalc("S_E_BS_TOTALNONCURRLIABILITY",StockCode,TEXT(C$2,"yyyy-mm-dd"),IF(_xll.GilCalc.CoGilCalc.gCalc("S_E_BS_TOTALASSETS",StockCode,TEXT(C$2,"yyyy-mm-dd"),1)=0,0,1))/unit</f>
        <v>51150.515252999998</v>
      </c>
      <c r="D23" s="118">
        <f>_xll.GilCalc.CoGilCalc.gCalc("S_E_BS_TOTALNONCURRLIABILITY",StockCode,TEXT(D$2,"yyyy-mm-dd"),IF(_xll.GilCalc.CoGilCalc.gCalc("S_E_BS_TOTALASSETS",StockCode,TEXT(D$2,"yyyy-mm-dd"),1)=0,0,1))/unit</f>
        <v>49127.254345999994</v>
      </c>
      <c r="E23" s="118">
        <f>_xll.GilCalc.CoGilCalc.gCalc("S_E_BS_TOTALNONCURRLIABILITY",StockCode,TEXT(E$2,"yyyy-mm-dd"),IF(_xll.GilCalc.CoGilCalc.gCalc("S_E_BS_TOTALASSETS",StockCode,TEXT(E$2,"yyyy-mm-dd"),1)=0,0,1))/unit</f>
        <v>51918.972438999997</v>
      </c>
      <c r="F23" s="118">
        <f>_xll.GilCalc.CoGilCalc.gCalc("S_E_BS_TOTALNONCURRLIABILITY",StockCode,TEXT(F$2,"yyyy-mm-dd"),IF(_xll.GilCalc.CoGilCalc.gCalc("S_E_BS_TOTALASSETS",StockCode,TEXT(F$2,"yyyy-mm-dd"),1)=0,0,1))/unit</f>
        <v>52837.940532000001</v>
      </c>
      <c r="G23" s="118">
        <f>_xll.GilCalc.CoGilCalc.gCalc("S_E_BS_TOTALNONCURRLIABILITY",StockCode,TEXT(G$2,"yyyy-mm-dd"),IF(_xll.GilCalc.CoGilCalc.gCalc("S_E_BS_TOTALASSETS",StockCode,TEXT(G$2,"yyyy-mm-dd"),1)=0,0,1))/unit</f>
        <v>52373.310029</v>
      </c>
    </row>
    <row r="24" spans="1:22" x14ac:dyDescent="0.3">
      <c r="A24" s="103" t="s">
        <v>267</v>
      </c>
      <c r="B24" s="117">
        <f>_xll.GilCalc.CoGilCalc.gCalc("S_E_BS_TOTALCURRENTASSETS",StockCode,TEXT(B$2,"yyyy-mm-dd"),IF(_xll.GilCalc.CoGilCalc.gCalc("S_E_BS_TOTALASSETS",StockCode,TEXT(B$2,"yyyy-mm-dd"),1)=0,0,1))/unit</f>
        <v>245642.51751100001</v>
      </c>
      <c r="C24" s="117">
        <f>_xll.GilCalc.CoGilCalc.gCalc("S_E_BS_TOTALCURRENTASSETS",StockCode,TEXT(C$2,"yyyy-mm-dd"),IF(_xll.GilCalc.CoGilCalc.gCalc("S_E_BS_TOTALASSETS",StockCode,TEXT(C$2,"yyyy-mm-dd"),1)=0,0,1))/unit</f>
        <v>249601.988644</v>
      </c>
      <c r="D24" s="117">
        <f>_xll.GilCalc.CoGilCalc.gCalc("S_E_BS_TOTALCURRENTASSETS",StockCode,TEXT(D$2,"yyyy-mm-dd"),IF(_xll.GilCalc.CoGilCalc.gCalc("S_E_BS_TOTALASSETS",StockCode,TEXT(D$2,"yyyy-mm-dd"),1)=0,0,1))/unit</f>
        <v>257982.06356999997</v>
      </c>
      <c r="E24" s="117">
        <f>_xll.GilCalc.CoGilCalc.gCalc("S_E_BS_TOTALCURRENTASSETS",StockCode,TEXT(E$2,"yyyy-mm-dd"),IF(_xll.GilCalc.CoGilCalc.gCalc("S_E_BS_TOTALASSETS",StockCode,TEXT(E$2,"yyyy-mm-dd"),1)=0,0,1))/unit</f>
        <v>262802.87644399994</v>
      </c>
      <c r="F24" s="117">
        <f>_xll.GilCalc.CoGilCalc.gCalc("S_E_BS_TOTALCURRENTASSETS",StockCode,TEXT(F$2,"yyyy-mm-dd"),IF(_xll.GilCalc.CoGilCalc.gCalc("S_E_BS_TOTALASSETS",StockCode,TEXT(F$2,"yyyy-mm-dd"),1)=0,0,1))/unit</f>
        <v>282608.27155100001</v>
      </c>
      <c r="G24" s="117">
        <f>_xll.GilCalc.CoGilCalc.gCalc("S_E_BS_TOTALCURRENTASSETS",StockCode,TEXT(G$2,"yyyy-mm-dd"),IF(_xll.GilCalc.CoGilCalc.gCalc("S_E_BS_TOTALASSETS",StockCode,TEXT(G$2,"yyyy-mm-dd"),1)=0,0,1))/unit</f>
        <v>271964.22803399997</v>
      </c>
    </row>
    <row r="25" spans="1:22" x14ac:dyDescent="0.3">
      <c r="A25" s="54" t="s">
        <v>268</v>
      </c>
      <c r="B25" s="118">
        <f>_xll.GilCalc.CoGilCalc.gCalc("S_E_BS_TOTALNONCURASSETS",StockCode,TEXT(B$2,"yyyy-mm-dd"),IF(_xll.GilCalc.CoGilCalc.gCalc("S_E_BS_TOTALASSETS",StockCode,TEXT(B$2,"yyyy-mm-dd"),1)=0,0,1))/unit</f>
        <v>82644.601341999994</v>
      </c>
      <c r="C25" s="118">
        <f>_xll.GilCalc.CoGilCalc.gCalc("S_E_BS_TOTALNONCURASSETS",StockCode,TEXT(C$2,"yyyy-mm-dd"),IF(_xll.GilCalc.CoGilCalc.gCalc("S_E_BS_TOTALASSETS",StockCode,TEXT(C$2,"yyyy-mm-dd"),1)=0,0,1))/unit</f>
        <v>83313.59736</v>
      </c>
      <c r="D25" s="118">
        <f>_xll.GilCalc.CoGilCalc.gCalc("S_E_BS_TOTALNONCURASSETS",StockCode,TEXT(D$2,"yyyy-mm-dd"),IF(_xll.GilCalc.CoGilCalc.gCalc("S_E_BS_TOTALASSETS",StockCode,TEXT(D$2,"yyyy-mm-dd"),1)=0,0,1))/unit</f>
        <v>96995.497080000001</v>
      </c>
      <c r="E25" s="118">
        <f>_xll.GilCalc.CoGilCalc.gCalc("S_E_BS_TOTALNONCURASSETS",StockCode,TEXT(E$2,"yyyy-mm-dd"),IF(_xll.GilCalc.CoGilCalc.gCalc("S_E_BS_TOTALASSETS",StockCode,TEXT(E$2,"yyyy-mm-dd"),1)=0,0,1))/unit</f>
        <v>94478.050923000003</v>
      </c>
      <c r="F25" s="118">
        <f>_xll.GilCalc.CoGilCalc.gCalc("S_E_BS_TOTALNONCURASSETS",StockCode,TEXT(F$2,"yyyy-mm-dd"),IF(_xll.GilCalc.CoGilCalc.gCalc("S_E_BS_TOTALASSETS",StockCode,TEXT(F$2,"yyyy-mm-dd"),1)=0,0,1))/unit</f>
        <v>93396.392028000002</v>
      </c>
      <c r="G25" s="118">
        <f>_xll.GilCalc.CoGilCalc.gCalc("S_E_BS_TOTALNONCURASSETS",StockCode,TEXT(G$2,"yyyy-mm-dd"),IF(_xll.GilCalc.CoGilCalc.gCalc("S_E_BS_TOTALASSETS",StockCode,TEXT(G$2,"yyyy-mm-dd"),1)=0,0,1))/unit</f>
        <v>91759.553900999992</v>
      </c>
    </row>
    <row r="26" spans="1:22" ht="31.5" customHeight="1" x14ac:dyDescent="0.3">
      <c r="A26" s="110"/>
    </row>
    <row r="27" spans="1:22" ht="19.5" customHeight="1" thickBot="1" x14ac:dyDescent="0.35">
      <c r="A27" s="76" t="s">
        <v>269</v>
      </c>
      <c r="B27" s="99"/>
      <c r="C27" s="77"/>
      <c r="D27" s="77"/>
      <c r="E27" s="77"/>
      <c r="F27" s="77"/>
      <c r="G27" s="77"/>
      <c r="H27" s="77"/>
      <c r="I27" s="77"/>
      <c r="J27" s="77"/>
      <c r="K27" s="111"/>
      <c r="L27" s="111"/>
      <c r="M27" s="111"/>
      <c r="N27" s="111"/>
      <c r="O27" s="111"/>
      <c r="P27" s="111"/>
      <c r="Q27" s="111"/>
      <c r="R27" s="95"/>
      <c r="S27" s="95"/>
      <c r="T27" s="95"/>
      <c r="U27" s="95"/>
      <c r="V27" s="95"/>
    </row>
    <row r="28" spans="1:22" ht="17.25" thickBot="1" x14ac:dyDescent="0.35">
      <c r="A28" s="110"/>
    </row>
    <row r="29" spans="1:22" x14ac:dyDescent="0.3">
      <c r="A29" s="103" t="str">
        <f>A6</f>
        <v>净资产收益率</v>
      </c>
      <c r="B29" s="95"/>
      <c r="C29" s="112" t="s">
        <v>32</v>
      </c>
      <c r="D29" s="8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</row>
    <row r="30" spans="1:22" x14ac:dyDescent="0.3">
      <c r="A30" s="103" t="str">
        <f t="shared" ref="A30:A48" si="2">A7</f>
        <v>资产净利率</v>
      </c>
      <c r="B30" s="95"/>
      <c r="C30" s="113" t="s">
        <v>33</v>
      </c>
      <c r="D30" s="8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</row>
    <row r="31" spans="1:22" x14ac:dyDescent="0.3">
      <c r="A31" s="103" t="str">
        <f t="shared" si="2"/>
        <v>权益乘数</v>
      </c>
      <c r="B31" s="95"/>
      <c r="C31" s="114" t="s">
        <v>34</v>
      </c>
      <c r="D31" s="8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</row>
    <row r="32" spans="1:22" x14ac:dyDescent="0.3">
      <c r="A32" s="103" t="str">
        <f t="shared" si="2"/>
        <v>销售净利率</v>
      </c>
      <c r="B32" s="95"/>
      <c r="C32" s="113"/>
      <c r="D32" s="8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</row>
    <row r="33" spans="1:17" x14ac:dyDescent="0.3">
      <c r="A33" s="103" t="str">
        <f t="shared" si="2"/>
        <v>资产周转率</v>
      </c>
      <c r="B33" s="95"/>
      <c r="C33" s="114"/>
      <c r="D33" s="8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</row>
    <row r="34" spans="1:17" x14ac:dyDescent="0.3">
      <c r="A34" s="103" t="str">
        <f t="shared" si="2"/>
        <v>资产负债率</v>
      </c>
      <c r="B34" s="95"/>
      <c r="C34" s="113"/>
      <c r="D34" s="8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</row>
    <row r="35" spans="1:17" x14ac:dyDescent="0.3">
      <c r="A35" s="103" t="str">
        <f>A12</f>
        <v>归属母公司股东净利润占比</v>
      </c>
      <c r="B35" s="95"/>
      <c r="C35" s="114"/>
      <c r="D35" s="8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</row>
    <row r="36" spans="1:17" x14ac:dyDescent="0.3">
      <c r="A36" s="103" t="str">
        <f t="shared" si="2"/>
        <v>归属母公司净利润</v>
      </c>
      <c r="B36" s="95"/>
      <c r="C36" s="113"/>
      <c r="D36" s="8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</row>
    <row r="37" spans="1:17" x14ac:dyDescent="0.3">
      <c r="A37" s="103" t="str">
        <f t="shared" si="2"/>
        <v>净利润</v>
      </c>
      <c r="B37" s="95"/>
      <c r="C37" s="114"/>
      <c r="D37" s="8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</row>
    <row r="38" spans="1:17" x14ac:dyDescent="0.3">
      <c r="A38" s="103" t="str">
        <f t="shared" si="2"/>
        <v>销售收入</v>
      </c>
      <c r="B38" s="95"/>
      <c r="C38" s="113"/>
      <c r="D38" s="8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</row>
    <row r="39" spans="1:17" x14ac:dyDescent="0.3">
      <c r="A39" s="103" t="str">
        <f t="shared" si="2"/>
        <v>平均资产总额</v>
      </c>
      <c r="B39" s="95"/>
      <c r="C39" s="114"/>
      <c r="D39" s="8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</row>
    <row r="40" spans="1:17" x14ac:dyDescent="0.3">
      <c r="A40" s="103" t="str">
        <f t="shared" si="2"/>
        <v>负债总额</v>
      </c>
      <c r="B40" s="95"/>
      <c r="C40" s="113"/>
      <c r="D40" s="8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</row>
    <row r="41" spans="1:17" x14ac:dyDescent="0.3">
      <c r="A41" s="103" t="str">
        <f t="shared" si="2"/>
        <v>资产总额</v>
      </c>
      <c r="B41" s="95"/>
      <c r="C41" s="114"/>
      <c r="D41" s="8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</row>
    <row r="42" spans="1:17" x14ac:dyDescent="0.3">
      <c r="A42" s="103" t="str">
        <f t="shared" si="2"/>
        <v>成本费用</v>
      </c>
      <c r="B42" s="95"/>
      <c r="C42" s="113"/>
      <c r="D42" s="8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</row>
    <row r="43" spans="1:17" x14ac:dyDescent="0.3">
      <c r="A43" s="103" t="str">
        <f t="shared" si="2"/>
        <v>其他利润</v>
      </c>
      <c r="B43" s="95"/>
      <c r="C43" s="114"/>
      <c r="D43" s="8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</row>
    <row r="44" spans="1:17" x14ac:dyDescent="0.3">
      <c r="A44" s="103" t="str">
        <f t="shared" si="2"/>
        <v>所得税</v>
      </c>
      <c r="B44" s="95"/>
      <c r="C44" s="113"/>
      <c r="D44" s="8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</row>
    <row r="45" spans="1:17" x14ac:dyDescent="0.3">
      <c r="A45" s="103" t="str">
        <f t="shared" si="2"/>
        <v>流动负债</v>
      </c>
      <c r="B45" s="95"/>
      <c r="C45" s="114"/>
      <c r="D45" s="8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</row>
    <row r="46" spans="1:17" x14ac:dyDescent="0.3">
      <c r="A46" s="103" t="str">
        <f t="shared" si="2"/>
        <v>非流动负债</v>
      </c>
      <c r="B46" s="95"/>
      <c r="C46" s="113"/>
      <c r="D46" s="8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</row>
    <row r="47" spans="1:17" x14ac:dyDescent="0.3">
      <c r="A47" s="103" t="str">
        <f t="shared" si="2"/>
        <v>流动资产</v>
      </c>
      <c r="C47" s="114"/>
    </row>
    <row r="48" spans="1:17" ht="17.25" thickBot="1" x14ac:dyDescent="0.35">
      <c r="A48" s="54" t="str">
        <f t="shared" si="2"/>
        <v>非流动资产</v>
      </c>
      <c r="C48" s="115"/>
    </row>
    <row r="49" spans="1:4" x14ac:dyDescent="0.3">
      <c r="A49" s="116"/>
    </row>
    <row r="50" spans="1:4" x14ac:dyDescent="0.3">
      <c r="A50" s="116"/>
    </row>
    <row r="51" spans="1:4" x14ac:dyDescent="0.3">
      <c r="A51" s="116"/>
    </row>
    <row r="52" spans="1:4" x14ac:dyDescent="0.3">
      <c r="A52" s="116"/>
    </row>
    <row r="53" spans="1:4" x14ac:dyDescent="0.3">
      <c r="A53" s="116"/>
      <c r="D53" s="9"/>
    </row>
    <row r="54" spans="1:4" x14ac:dyDescent="0.3">
      <c r="A54" s="116"/>
    </row>
    <row r="55" spans="1:4" x14ac:dyDescent="0.3">
      <c r="A55" s="116"/>
    </row>
    <row r="56" spans="1:4" x14ac:dyDescent="0.3">
      <c r="A56" s="116"/>
    </row>
    <row r="57" spans="1:4" x14ac:dyDescent="0.3">
      <c r="A57" s="116"/>
    </row>
    <row r="58" spans="1:4" x14ac:dyDescent="0.3">
      <c r="A58" s="116"/>
    </row>
    <row r="59" spans="1:4" x14ac:dyDescent="0.3">
      <c r="A59" s="116"/>
    </row>
    <row r="60" spans="1:4" x14ac:dyDescent="0.3">
      <c r="A60" s="116"/>
    </row>
    <row r="61" spans="1:4" x14ac:dyDescent="0.3">
      <c r="A61" s="116"/>
    </row>
  </sheetData>
  <phoneticPr fontId="18" type="noConversion"/>
  <hyperlinks>
    <hyperlink ref="B4" location="杜邦分析图!A1" display="点击浏览"/>
    <hyperlink ref="C4" location="杜邦分析图!A1" display="点击浏览"/>
    <hyperlink ref="D4" location="杜邦分析图!A1" display="点击浏览"/>
    <hyperlink ref="E4" location="杜邦分析图!A1" display="点击浏览"/>
    <hyperlink ref="F4" location="杜邦分析图!A1" display="点击浏览"/>
    <hyperlink ref="G4" location="杜邦分析图!A1" display="点击浏览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66" r:id="rId4" name="Label 194">
              <controlPr defaultSize="0" autoFill="0" autoLine="0" autoPict="0">
                <anchor moveWithCells="1" sizeWithCells="1">
                  <from>
                    <xdr:col>0</xdr:col>
                    <xdr:colOff>38100</xdr:colOff>
                    <xdr:row>25</xdr:row>
                    <xdr:rowOff>57150</xdr:rowOff>
                  </from>
                  <to>
                    <xdr:col>3</xdr:col>
                    <xdr:colOff>1095375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5" name="Button 200">
              <controlPr defaultSize="0" print="0" autoFill="0" autoPict="0" macro="[0]!Sheet3.SelectSingle">
                <anchor moveWithCells="1" sizeWithCells="1">
                  <from>
                    <xdr:col>1</xdr:col>
                    <xdr:colOff>342900</xdr:colOff>
                    <xdr:row>30</xdr:row>
                    <xdr:rowOff>57150</xdr:rowOff>
                  </from>
                  <to>
                    <xdr:col>1</xdr:col>
                    <xdr:colOff>1114425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6" name="Button 201">
              <controlPr defaultSize="0" print="0" autoFill="0" autoPict="0" macro="[0]!Sheet3.SelectAll">
                <anchor moveWithCells="1" sizeWithCells="1">
                  <from>
                    <xdr:col>1</xdr:col>
                    <xdr:colOff>342900</xdr:colOff>
                    <xdr:row>32</xdr:row>
                    <xdr:rowOff>171450</xdr:rowOff>
                  </from>
                  <to>
                    <xdr:col>1</xdr:col>
                    <xdr:colOff>1114425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7" name="Button 202">
              <controlPr defaultSize="0" print="0" autoFill="0" autoPict="0" macro="[0]!Sheet3.DelSingle">
                <anchor moveWithCells="1" sizeWithCells="1">
                  <from>
                    <xdr:col>1</xdr:col>
                    <xdr:colOff>352425</xdr:colOff>
                    <xdr:row>36</xdr:row>
                    <xdr:rowOff>47625</xdr:rowOff>
                  </from>
                  <to>
                    <xdr:col>1</xdr:col>
                    <xdr:colOff>1123950</xdr:colOff>
                    <xdr:row>37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8" name="Button 203">
              <controlPr defaultSize="0" print="0" autoFill="0" autoPict="0" macro="[0]!Sheet3.NotSelAll">
                <anchor moveWithCells="1" sizeWithCells="1">
                  <from>
                    <xdr:col>1</xdr:col>
                    <xdr:colOff>333375</xdr:colOff>
                    <xdr:row>38</xdr:row>
                    <xdr:rowOff>190500</xdr:rowOff>
                  </from>
                  <to>
                    <xdr:col>1</xdr:col>
                    <xdr:colOff>1104900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9" name="Button 204">
              <controlPr defaultSize="0" print="0" autoFill="0" autoPict="0" macro="[0]!sheet3.Sheet3_setchart">
                <anchor moveWithCells="1" sizeWithCells="1">
                  <from>
                    <xdr:col>3</xdr:col>
                    <xdr:colOff>238125</xdr:colOff>
                    <xdr:row>31</xdr:row>
                    <xdr:rowOff>152400</xdr:rowOff>
                  </from>
                  <to>
                    <xdr:col>3</xdr:col>
                    <xdr:colOff>971550</xdr:colOff>
                    <xdr:row>33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R27"/>
  <sheetViews>
    <sheetView showGridLines="0" topLeftCell="B2" workbookViewId="0">
      <selection activeCell="N15" sqref="N15"/>
    </sheetView>
  </sheetViews>
  <sheetFormatPr defaultRowHeight="16.5" x14ac:dyDescent="0.3"/>
  <cols>
    <col min="1" max="1" width="8.875" style="45" customWidth="1"/>
    <col min="2" max="2" width="13.5" style="45" customWidth="1"/>
    <col min="3" max="3" width="11.875" style="45" customWidth="1"/>
    <col min="4" max="14" width="9" style="45"/>
    <col min="15" max="15" width="9" style="45" customWidth="1"/>
    <col min="16" max="16384" width="9" style="45"/>
  </cols>
  <sheetData>
    <row r="1" spans="2:18" ht="20.100000000000001" customHeight="1" thickBot="1" x14ac:dyDescent="0.35">
      <c r="B1" s="76" t="s">
        <v>8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</row>
    <row r="2" spans="2:18" ht="21" customHeight="1" x14ac:dyDescent="0.3">
      <c r="O2" s="90">
        <v>1</v>
      </c>
    </row>
    <row r="3" spans="2:18" x14ac:dyDescent="0.3">
      <c r="B3" s="96" t="s">
        <v>0</v>
      </c>
      <c r="C3" s="45" t="str">
        <f>首页!F11</f>
        <v>新 华 网</v>
      </c>
    </row>
    <row r="4" spans="2:18" x14ac:dyDescent="0.3">
      <c r="B4" s="96" t="s">
        <v>1</v>
      </c>
      <c r="C4" s="45">
        <v>1</v>
      </c>
    </row>
    <row r="5" spans="2:18" x14ac:dyDescent="0.3">
      <c r="B5" s="96"/>
    </row>
    <row r="6" spans="2:18" x14ac:dyDescent="0.3">
      <c r="B6" s="97" t="str">
        <f>"单位："&amp;IF(首页!F15=1,"元",IF(首页!F15=2,"千元",IF(首页!F15=3,"万元","百万元")))</f>
        <v>单位：万元</v>
      </c>
    </row>
    <row r="27" spans="2:2" ht="15.75" customHeight="1" x14ac:dyDescent="0.35">
      <c r="B27" s="98" t="s">
        <v>3</v>
      </c>
    </row>
  </sheetData>
  <phoneticPr fontId="18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 macro="[0]!Sheet4.Worksheet_UpdateChartData">
                <anchor moveWithCells="1">
                  <from>
                    <xdr:col>14</xdr:col>
                    <xdr:colOff>342900</xdr:colOff>
                    <xdr:row>2</xdr:row>
                    <xdr:rowOff>161925</xdr:rowOff>
                  </from>
                  <to>
                    <xdr:col>17</xdr:col>
                    <xdr:colOff>133350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 macro="[0]!Sheet4.Worksheet_UpdateChartData">
                <anchor moveWithCells="1">
                  <from>
                    <xdr:col>14</xdr:col>
                    <xdr:colOff>342900</xdr:colOff>
                    <xdr:row>4</xdr:row>
                    <xdr:rowOff>114300</xdr:rowOff>
                  </from>
                  <to>
                    <xdr:col>17</xdr:col>
                    <xdr:colOff>133350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6" name="Drop Down 104">
              <controlPr defaultSize="0" autoLine="0" autoPict="0" macro="[0]!Sheet4.Worksheet_UpdateChartData">
                <anchor moveWithCells="1">
                  <from>
                    <xdr:col>2</xdr:col>
                    <xdr:colOff>28575</xdr:colOff>
                    <xdr:row>3</xdr:row>
                    <xdr:rowOff>9525</xdr:rowOff>
                  </from>
                  <to>
                    <xdr:col>3</xdr:col>
                    <xdr:colOff>171450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7" name="Option Button 2056">
              <controlPr defaultSize="0" autoFill="0" autoLine="0" autoPict="0" macro="[0]!Sheet4.Worksheet_UpdateChartData">
                <anchor moveWithCells="1">
                  <from>
                    <xdr:col>14</xdr:col>
                    <xdr:colOff>342900</xdr:colOff>
                    <xdr:row>1</xdr:row>
                    <xdr:rowOff>123825</xdr:rowOff>
                  </from>
                  <to>
                    <xdr:col>17</xdr:col>
                    <xdr:colOff>123825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7" r:id="rId8" name="Button 11059">
              <controlPr defaultSize="0" print="0" autoFill="0" autoPict="0" macro="[0]!Sheet4.CopyPic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1</xdr:col>
                    <xdr:colOff>1009650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P220"/>
  <sheetViews>
    <sheetView showGridLines="0" workbookViewId="0">
      <pane xSplit="1" ySplit="4" topLeftCell="B5" activePane="bottomRight" state="frozen"/>
      <selection activeCell="E12" sqref="E12"/>
      <selection pane="topRight" activeCell="E12" sqref="E12"/>
      <selection pane="bottomLeft" activeCell="E12" sqref="E12"/>
      <selection pane="bottomRight" activeCell="B1" sqref="B1:G1048576"/>
    </sheetView>
  </sheetViews>
  <sheetFormatPr defaultRowHeight="16.5" x14ac:dyDescent="0.3"/>
  <cols>
    <col min="1" max="1" width="37.625" style="95" customWidth="1"/>
    <col min="2" max="7" width="11.625" style="45" customWidth="1"/>
    <col min="8" max="9" width="9.625" style="45" bestFit="1" customWidth="1"/>
    <col min="10" max="11" width="7.75" style="45" bestFit="1" customWidth="1"/>
    <col min="12" max="12" width="8.375" style="45" bestFit="1" customWidth="1"/>
    <col min="13" max="15" width="7.75" style="45" bestFit="1" customWidth="1"/>
    <col min="16" max="16" width="8.375" style="45" bestFit="1" customWidth="1"/>
    <col min="17" max="17" width="7.75" style="45" bestFit="1" customWidth="1"/>
    <col min="18" max="18" width="8.375" style="45" bestFit="1" customWidth="1"/>
    <col min="19" max="21" width="7.75" style="45" bestFit="1" customWidth="1"/>
    <col min="22" max="22" width="8.375" style="45" bestFit="1" customWidth="1"/>
    <col min="23" max="25" width="7.75" style="45" bestFit="1" customWidth="1"/>
    <col min="26" max="26" width="8.375" style="45" bestFit="1" customWidth="1"/>
    <col min="27" max="29" width="7.75" style="45" bestFit="1" customWidth="1"/>
    <col min="30" max="30" width="8.375" style="45" bestFit="1" customWidth="1"/>
    <col min="31" max="33" width="7.75" style="45" bestFit="1" customWidth="1"/>
    <col min="34" max="34" width="8.375" style="45" bestFit="1" customWidth="1"/>
    <col min="35" max="37" width="7.75" style="45" bestFit="1" customWidth="1"/>
    <col min="38" max="38" width="8.375" style="45" bestFit="1" customWidth="1"/>
    <col min="39" max="41" width="7.75" style="45" bestFit="1" customWidth="1"/>
    <col min="42" max="42" width="8.375" style="45" bestFit="1" customWidth="1"/>
    <col min="43" max="45" width="7.75" style="45" bestFit="1" customWidth="1"/>
    <col min="46" max="46" width="8.375" style="45" bestFit="1" customWidth="1"/>
    <col min="47" max="49" width="7.75" style="45" bestFit="1" customWidth="1"/>
    <col min="50" max="50" width="8.375" style="45" bestFit="1" customWidth="1"/>
    <col min="51" max="53" width="7.75" style="45" bestFit="1" customWidth="1"/>
    <col min="54" max="54" width="8.375" style="45" bestFit="1" customWidth="1"/>
    <col min="55" max="57" width="7.75" style="45" bestFit="1" customWidth="1"/>
    <col min="58" max="65" width="13.125" style="45" bestFit="1" customWidth="1"/>
    <col min="66" max="66" width="14.125" style="45" bestFit="1" customWidth="1"/>
    <col min="67" max="71" width="13.125" style="45" bestFit="1" customWidth="1"/>
    <col min="72" max="89" width="3.25" style="45" bestFit="1" customWidth="1"/>
    <col min="90" max="16384" width="9" style="45"/>
  </cols>
  <sheetData>
    <row r="1" spans="1:120" s="79" customFormat="1" ht="18.95" customHeight="1" thickBot="1" x14ac:dyDescent="0.2">
      <c r="A1" s="76" t="s">
        <v>53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8"/>
      <c r="S1" s="78"/>
      <c r="T1" s="78"/>
      <c r="U1" s="78"/>
    </row>
    <row r="2" spans="1:120" s="79" customFormat="1" x14ac:dyDescent="0.3">
      <c r="A2" s="80" t="str">
        <f>StockCode</f>
        <v>603888.SH</v>
      </c>
      <c r="B2" s="78"/>
      <c r="C2" s="78"/>
      <c r="D2" s="78"/>
      <c r="E2" s="78"/>
      <c r="F2" s="78"/>
      <c r="G2" s="78"/>
      <c r="H2" s="78"/>
      <c r="I2" s="78"/>
      <c r="J2" s="45"/>
      <c r="K2" s="78"/>
      <c r="L2" s="78"/>
      <c r="M2" s="78"/>
      <c r="N2" s="78"/>
      <c r="O2" s="78"/>
      <c r="P2" s="78"/>
      <c r="Q2" s="78"/>
    </row>
    <row r="3" spans="1:120" s="79" customFormat="1" x14ac:dyDescent="0.3">
      <c r="A3" s="81" t="str">
        <f>"单位："&amp;首页!V1</f>
        <v>单位：万元</v>
      </c>
      <c r="B3" s="17">
        <v>42735</v>
      </c>
      <c r="C3" s="17">
        <v>42825</v>
      </c>
      <c r="D3" s="17">
        <v>42916</v>
      </c>
      <c r="E3" s="17">
        <v>43008</v>
      </c>
      <c r="F3" s="17">
        <v>43100</v>
      </c>
      <c r="G3" s="17">
        <v>43190</v>
      </c>
      <c r="H3" s="82"/>
      <c r="I3" s="82"/>
      <c r="J3" s="82"/>
      <c r="K3" s="83"/>
      <c r="L3" s="83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</row>
    <row r="4" spans="1:120" s="79" customFormat="1" x14ac:dyDescent="0.3">
      <c r="A4" s="84" t="s">
        <v>54</v>
      </c>
      <c r="B4" s="16" t="str">
        <f t="shared" ref="B4:G4" si="0">IF(LEN(B3)&gt;0,"Q" &amp; CEILING(MONTH(B3)/3, 1),"")</f>
        <v>Q4</v>
      </c>
      <c r="C4" s="16" t="str">
        <f t="shared" si="0"/>
        <v>Q1</v>
      </c>
      <c r="D4" s="16" t="str">
        <f t="shared" si="0"/>
        <v>Q2</v>
      </c>
      <c r="E4" s="16" t="str">
        <f t="shared" si="0"/>
        <v>Q3</v>
      </c>
      <c r="F4" s="16" t="str">
        <f t="shared" si="0"/>
        <v>Q4</v>
      </c>
      <c r="G4" s="16" t="str">
        <f t="shared" si="0"/>
        <v>Q1</v>
      </c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5"/>
      <c r="DM4" s="45"/>
      <c r="DN4" s="45"/>
      <c r="DO4" s="45"/>
      <c r="DP4" s="45"/>
    </row>
    <row r="5" spans="1:120" x14ac:dyDescent="0.3">
      <c r="A5" s="85" t="s">
        <v>55</v>
      </c>
      <c r="B5" s="86">
        <f>IF(_xll.GilCalc.CoGilCalc.gCalc("S_E_IS_OPREVENUE",$A$2,TEXT(B$3,"yyyy-mm-dd"),1)=0,0,1)</f>
        <v>1</v>
      </c>
      <c r="C5" s="86">
        <f>IF(_xll.GilCalc.CoGilCalc.gCalc("S_E_IS_OPREVENUE",$A$2,TEXT(C$3,"yyyy-mm-dd"),1)=0,0,1)</f>
        <v>1</v>
      </c>
      <c r="D5" s="86">
        <f>IF(_xll.GilCalc.CoGilCalc.gCalc("S_E_IS_OPREVENUE",$A$2,TEXT(D$3,"yyyy-mm-dd"),1)=0,0,1)</f>
        <v>1</v>
      </c>
      <c r="E5" s="86">
        <f>IF(_xll.GilCalc.CoGilCalc.gCalc("S_E_IS_OPREVENUE",$A$2,TEXT(E$3,"yyyy-mm-dd"),1)=0,0,1)</f>
        <v>1</v>
      </c>
      <c r="F5" s="86">
        <f>IF(_xll.GilCalc.CoGilCalc.gCalc("S_E_IS_OPREVENUE",$A$2,TEXT(F$3,"yyyy-mm-dd"),1)=0,0,1)</f>
        <v>1</v>
      </c>
      <c r="G5" s="86">
        <f>IF(_xll.GilCalc.CoGilCalc.gCalc("S_E_IS_OPREVENUE",$A$2,TEXT(G$3,"yyyy-mm-dd"),1)=0,0,1)</f>
        <v>1</v>
      </c>
    </row>
    <row r="6" spans="1:120" x14ac:dyDescent="0.3">
      <c r="A6" s="81" t="s">
        <v>56</v>
      </c>
      <c r="B6" s="117">
        <f>_xll.GilCalc.CoGilCalc.gCalc("S_E_IS_GROSSREVENUE",$A$2,TEXT(B$3,"yyyy-mm-dd"),B$5)/unit</f>
        <v>136135.69343099999</v>
      </c>
      <c r="C6" s="117">
        <f>_xll.GilCalc.CoGilCalc.gCalc("S_E_IS_GROSSREVENUE",$A$2,TEXT(C$3,"yyyy-mm-dd"),C$5)/unit</f>
        <v>20656.003419000001</v>
      </c>
      <c r="D6" s="117">
        <f>_xll.GilCalc.CoGilCalc.gCalc("S_E_IS_GROSSREVENUE",$A$2,TEXT(D$3,"yyyy-mm-dd"),D$5)/unit</f>
        <v>56284.515971000001</v>
      </c>
      <c r="E6" s="117">
        <f>_xll.GilCalc.CoGilCalc.gCalc("S_E_IS_GROSSREVENUE",$A$2,TEXT(E$3,"yyyy-mm-dd"),E$5)/unit</f>
        <v>90185.000788000005</v>
      </c>
      <c r="F6" s="117">
        <f>_xll.GilCalc.CoGilCalc.gCalc("S_E_IS_GROSSREVENUE",$A$2,TEXT(F$3,"yyyy-mm-dd"),F$5)/unit</f>
        <v>150172.92898699999</v>
      </c>
      <c r="G6" s="117">
        <f>_xll.GilCalc.CoGilCalc.gCalc("S_E_IS_GROSSREVENUE",$A$2,TEXT(G$3,"yyyy-mm-dd"),G$5)/unit</f>
        <v>24517.177713999998</v>
      </c>
    </row>
    <row r="7" spans="1:120" x14ac:dyDescent="0.3">
      <c r="A7" s="87" t="s">
        <v>57</v>
      </c>
      <c r="B7" s="118">
        <f>_xll.GilCalc.CoGilCalc.gCalc("S_E_IS_OPREVENUE",$A$2,TEXT(B$3,"yyyy-mm-dd"),B$5)/unit</f>
        <v>136135.69343099999</v>
      </c>
      <c r="C7" s="118">
        <f>_xll.GilCalc.CoGilCalc.gCalc("S_E_IS_OPREVENUE",$A$2,TEXT(C$3,"yyyy-mm-dd"),C$5)/unit</f>
        <v>20656.003419000001</v>
      </c>
      <c r="D7" s="118">
        <f>_xll.GilCalc.CoGilCalc.gCalc("S_E_IS_OPREVENUE",$A$2,TEXT(D$3,"yyyy-mm-dd"),D$5)/unit</f>
        <v>56284.515971000001</v>
      </c>
      <c r="E7" s="118">
        <f>_xll.GilCalc.CoGilCalc.gCalc("S_E_IS_OPREVENUE",$A$2,TEXT(E$3,"yyyy-mm-dd"),E$5)/unit</f>
        <v>90185.000788000005</v>
      </c>
      <c r="F7" s="118">
        <f>_xll.GilCalc.CoGilCalc.gCalc("S_E_IS_OPREVENUE",$A$2,TEXT(F$3,"yyyy-mm-dd"),F$5)/unit</f>
        <v>150172.92898699999</v>
      </c>
      <c r="G7" s="118">
        <f>_xll.GilCalc.CoGilCalc.gCalc("S_E_IS_OPREVENUE",$A$2,TEXT(G$3,"yyyy-mm-dd"),G$5)/unit</f>
        <v>24517.177713999998</v>
      </c>
    </row>
    <row r="8" spans="1:120" x14ac:dyDescent="0.3">
      <c r="A8" s="87" t="s">
        <v>58</v>
      </c>
      <c r="B8" s="117">
        <f>_xll.GilCalc.CoGilCalc.gCalc("S_E_IS_INTERESTINCOME",$A$2,TEXT(B$3,"yyyy-mm-dd"),B$5)/unit</f>
        <v>0</v>
      </c>
      <c r="C8" s="117">
        <f>_xll.GilCalc.CoGilCalc.gCalc("S_E_IS_INTERESTINCOME",$A$2,TEXT(C$3,"yyyy-mm-dd"),C$5)/unit</f>
        <v>0</v>
      </c>
      <c r="D8" s="117">
        <f>_xll.GilCalc.CoGilCalc.gCalc("S_E_IS_INTERESTINCOME",$A$2,TEXT(D$3,"yyyy-mm-dd"),D$5)/unit</f>
        <v>0</v>
      </c>
      <c r="E8" s="117">
        <f>_xll.GilCalc.CoGilCalc.gCalc("S_E_IS_INTERESTINCOME",$A$2,TEXT(E$3,"yyyy-mm-dd"),E$5)/unit</f>
        <v>0</v>
      </c>
      <c r="F8" s="117">
        <f>_xll.GilCalc.CoGilCalc.gCalc("S_E_IS_INTERESTINCOME",$A$2,TEXT(F$3,"yyyy-mm-dd"),F$5)/unit</f>
        <v>0</v>
      </c>
      <c r="G8" s="117">
        <f>_xll.GilCalc.CoGilCalc.gCalc("S_E_IS_INTERESTINCOME",$A$2,TEXT(G$3,"yyyy-mm-dd"),G$5)/unit</f>
        <v>0</v>
      </c>
    </row>
    <row r="9" spans="1:120" x14ac:dyDescent="0.3">
      <c r="A9" s="87" t="s">
        <v>59</v>
      </c>
      <c r="B9" s="118">
        <f>_xll.GilCalc.CoGilCalc.gCalc("S_E_IS_EPREMIUM",$A$2,TEXT(B$3,"yyyy-mm-dd"),B$5)/unit</f>
        <v>0</v>
      </c>
      <c r="C9" s="118">
        <f>_xll.GilCalc.CoGilCalc.gCalc("S_E_IS_EPREMIUM",$A$2,TEXT(C$3,"yyyy-mm-dd"),C$5)/unit</f>
        <v>0</v>
      </c>
      <c r="D9" s="118">
        <f>_xll.GilCalc.CoGilCalc.gCalc("S_E_IS_EPREMIUM",$A$2,TEXT(D$3,"yyyy-mm-dd"),D$5)/unit</f>
        <v>0</v>
      </c>
      <c r="E9" s="118">
        <f>_xll.GilCalc.CoGilCalc.gCalc("S_E_IS_EPREMIUM",$A$2,TEXT(E$3,"yyyy-mm-dd"),E$5)/unit</f>
        <v>0</v>
      </c>
      <c r="F9" s="118">
        <f>_xll.GilCalc.CoGilCalc.gCalc("S_E_IS_EPREMIUM",$A$2,TEXT(F$3,"yyyy-mm-dd"),F$5)/unit</f>
        <v>0</v>
      </c>
      <c r="G9" s="118">
        <f>_xll.GilCalc.CoGilCalc.gCalc("S_E_IS_EPREMIUM",$A$2,TEXT(G$3,"yyyy-mm-dd"),G$5)/unit</f>
        <v>0</v>
      </c>
    </row>
    <row r="10" spans="1:120" x14ac:dyDescent="0.3">
      <c r="A10" s="87" t="s">
        <v>60</v>
      </c>
      <c r="B10" s="117">
        <f>_xll.GilCalc.CoGilCalc.gCalc("S_E_IS_COMMISINCOME",$A$2,TEXT(B$3,"yyyy-mm-dd"),B$5)/unit</f>
        <v>0</v>
      </c>
      <c r="C10" s="117">
        <f>_xll.GilCalc.CoGilCalc.gCalc("S_E_IS_COMMISINCOME",$A$2,TEXT(C$3,"yyyy-mm-dd"),C$5)/unit</f>
        <v>0</v>
      </c>
      <c r="D10" s="117">
        <f>_xll.GilCalc.CoGilCalc.gCalc("S_E_IS_COMMISINCOME",$A$2,TEXT(D$3,"yyyy-mm-dd"),D$5)/unit</f>
        <v>0</v>
      </c>
      <c r="E10" s="117">
        <f>_xll.GilCalc.CoGilCalc.gCalc("S_E_IS_COMMISINCOME",$A$2,TEXT(E$3,"yyyy-mm-dd"),E$5)/unit</f>
        <v>0</v>
      </c>
      <c r="F10" s="117">
        <f>_xll.GilCalc.CoGilCalc.gCalc("S_E_IS_COMMISINCOME",$A$2,TEXT(F$3,"yyyy-mm-dd"),F$5)/unit</f>
        <v>0</v>
      </c>
      <c r="G10" s="117">
        <f>_xll.GilCalc.CoGilCalc.gCalc("S_E_IS_COMMISINCOME",$A$2,TEXT(G$3,"yyyy-mm-dd"),G$5)/unit</f>
        <v>0</v>
      </c>
    </row>
    <row r="11" spans="1:120" x14ac:dyDescent="0.3">
      <c r="A11" s="81" t="s">
        <v>61</v>
      </c>
      <c r="B11" s="118">
        <f>_xll.GilCalc.CoGilCalc.gCalc("S_E_IS_GROSSCOST",$A$2,TEXT(B$3,"yyyy-mm-dd"),B$5)/unit</f>
        <v>108254.43439099999</v>
      </c>
      <c r="C11" s="118">
        <f>_xll.GilCalc.CoGilCalc.gCalc("S_E_IS_GROSSCOST",$A$2,TEXT(C$3,"yyyy-mm-dd"),C$5)/unit</f>
        <v>19212.674471999999</v>
      </c>
      <c r="D11" s="118">
        <f>_xll.GilCalc.CoGilCalc.gCalc("S_E_IS_GROSSCOST",$A$2,TEXT(D$3,"yyyy-mm-dd"),D$5)/unit</f>
        <v>49803.157623999999</v>
      </c>
      <c r="E11" s="118">
        <f>_xll.GilCalc.CoGilCalc.gCalc("S_E_IS_GROSSCOST",$A$2,TEXT(E$3,"yyyy-mm-dd"),E$5)/unit</f>
        <v>81867.957601999995</v>
      </c>
      <c r="F11" s="118">
        <f>_xll.GilCalc.CoGilCalc.gCalc("S_E_IS_GROSSCOST",$A$2,TEXT(F$3,"yyyy-mm-dd"),F$5)/unit</f>
        <v>135116.09228399998</v>
      </c>
      <c r="G11" s="118">
        <f>_xll.GilCalc.CoGilCalc.gCalc("S_E_IS_GROSSCOST",$A$2,TEXT(G$3,"yyyy-mm-dd"),G$5)/unit</f>
        <v>22445.767750999999</v>
      </c>
    </row>
    <row r="12" spans="1:120" x14ac:dyDescent="0.3">
      <c r="A12" s="87" t="s">
        <v>62</v>
      </c>
      <c r="B12" s="117">
        <f>_xll.GilCalc.CoGilCalc.gCalc("S_E_IS_OPPAYOUT",$A$2,TEXT(B$3,"yyyy-mm-dd"),B$5)/unit</f>
        <v>67636.509323999984</v>
      </c>
      <c r="C12" s="117">
        <f>_xll.GilCalc.CoGilCalc.gCalc("S_E_IS_OPPAYOUT",$A$2,TEXT(C$3,"yyyy-mm-dd"),C$5)/unit</f>
        <v>10196.213540999999</v>
      </c>
      <c r="D12" s="117">
        <f>_xll.GilCalc.CoGilCalc.gCalc("S_E_IS_OPPAYOUT",$A$2,TEXT(D$3,"yyyy-mm-dd"),D$5)/unit</f>
        <v>28044.961078999997</v>
      </c>
      <c r="E12" s="117">
        <f>_xll.GilCalc.CoGilCalc.gCalc("S_E_IS_OPPAYOUT",$A$2,TEXT(E$3,"yyyy-mm-dd"),E$5)/unit</f>
        <v>49126.472063000001</v>
      </c>
      <c r="F12" s="117">
        <f>_xll.GilCalc.CoGilCalc.gCalc("S_E_IS_OPPAYOUT",$A$2,TEXT(F$3,"yyyy-mm-dd"),F$5)/unit</f>
        <v>82193.824104999992</v>
      </c>
      <c r="G12" s="117">
        <f>_xll.GilCalc.CoGilCalc.gCalc("S_E_IS_OPPAYOUT",$A$2,TEXT(G$3,"yyyy-mm-dd"),G$5)/unit</f>
        <v>14168.076106</v>
      </c>
    </row>
    <row r="13" spans="1:120" x14ac:dyDescent="0.3">
      <c r="A13" s="87" t="s">
        <v>63</v>
      </c>
      <c r="B13" s="118">
        <f>_xll.GilCalc.CoGilCalc.gCalc("S_E_IS_INTERESTEXPENSE",$A$2,TEXT(B$3,"yyyy-mm-dd"),B$5)/unit</f>
        <v>0</v>
      </c>
      <c r="C13" s="118">
        <f>_xll.GilCalc.CoGilCalc.gCalc("S_E_IS_INTERESTEXPENSE",$A$2,TEXT(C$3,"yyyy-mm-dd"),C$5)/unit</f>
        <v>0</v>
      </c>
      <c r="D13" s="118">
        <f>_xll.GilCalc.CoGilCalc.gCalc("S_E_IS_INTERESTEXPENSE",$A$2,TEXT(D$3,"yyyy-mm-dd"),D$5)/unit</f>
        <v>0</v>
      </c>
      <c r="E13" s="118">
        <f>_xll.GilCalc.CoGilCalc.gCalc("S_E_IS_INTERESTEXPENSE",$A$2,TEXT(E$3,"yyyy-mm-dd"),E$5)/unit</f>
        <v>0</v>
      </c>
      <c r="F13" s="118">
        <f>_xll.GilCalc.CoGilCalc.gCalc("S_E_IS_INTERESTEXPENSE",$A$2,TEXT(F$3,"yyyy-mm-dd"),F$5)/unit</f>
        <v>0</v>
      </c>
      <c r="G13" s="118">
        <f>_xll.GilCalc.CoGilCalc.gCalc("S_E_IS_INTERESTEXPENSE",$A$2,TEXT(G$3,"yyyy-mm-dd"),G$5)/unit</f>
        <v>0</v>
      </c>
    </row>
    <row r="14" spans="1:120" x14ac:dyDescent="0.3">
      <c r="A14" s="87" t="s">
        <v>64</v>
      </c>
      <c r="B14" s="117">
        <f>_xll.GilCalc.CoGilCalc.gCalc("S_E_IS_COMMISEXPENSE",$A$2,TEXT(B$3,"yyyy-mm-dd"),B$5)/unit</f>
        <v>0</v>
      </c>
      <c r="C14" s="117">
        <f>_xll.GilCalc.CoGilCalc.gCalc("S_E_IS_COMMISEXPENSE",$A$2,TEXT(C$3,"yyyy-mm-dd"),C$5)/unit</f>
        <v>0</v>
      </c>
      <c r="D14" s="117">
        <f>_xll.GilCalc.CoGilCalc.gCalc("S_E_IS_COMMISEXPENSE",$A$2,TEXT(D$3,"yyyy-mm-dd"),D$5)/unit</f>
        <v>0</v>
      </c>
      <c r="E14" s="117">
        <f>_xll.GilCalc.CoGilCalc.gCalc("S_E_IS_COMMISEXPENSE",$A$2,TEXT(E$3,"yyyy-mm-dd"),E$5)/unit</f>
        <v>0</v>
      </c>
      <c r="F14" s="117">
        <f>_xll.GilCalc.CoGilCalc.gCalc("S_E_IS_COMMISEXPENSE",$A$2,TEXT(F$3,"yyyy-mm-dd"),F$5)/unit</f>
        <v>0</v>
      </c>
      <c r="G14" s="117">
        <f>_xll.GilCalc.CoGilCalc.gCalc("S_E_IS_COMMISEXPENSE",$A$2,TEXT(G$3,"yyyy-mm-dd"),G$5)/unit</f>
        <v>0</v>
      </c>
    </row>
    <row r="15" spans="1:120" x14ac:dyDescent="0.3">
      <c r="A15" s="87" t="s">
        <v>65</v>
      </c>
      <c r="B15" s="118">
        <f>_xll.GilCalc.CoGilCalc.gCalc("S_I_IS_REFPREMIUM",$A$2,TEXT(B$3,"yyyy-mm-dd"),B$5)/unit</f>
        <v>0</v>
      </c>
      <c r="C15" s="118">
        <f>_xll.GilCalc.CoGilCalc.gCalc("S_I_IS_REFPREMIUM",$A$2,TEXT(C$3,"yyyy-mm-dd"),C$5)/unit</f>
        <v>0</v>
      </c>
      <c r="D15" s="118">
        <f>_xll.GilCalc.CoGilCalc.gCalc("S_I_IS_REFPREMIUM",$A$2,TEXT(D$3,"yyyy-mm-dd"),D$5)/unit</f>
        <v>0</v>
      </c>
      <c r="E15" s="118">
        <f>_xll.GilCalc.CoGilCalc.gCalc("S_I_IS_REFPREMIUM",$A$2,TEXT(E$3,"yyyy-mm-dd"),E$5)/unit</f>
        <v>0</v>
      </c>
      <c r="F15" s="118">
        <f>_xll.GilCalc.CoGilCalc.gCalc("S_I_IS_REFPREMIUM",$A$2,TEXT(F$3,"yyyy-mm-dd"),F$5)/unit</f>
        <v>0</v>
      </c>
      <c r="G15" s="118">
        <f>_xll.GilCalc.CoGilCalc.gCalc("S_I_IS_REFPREMIUM",$A$2,TEXT(G$3,"yyyy-mm-dd"),G$5)/unit</f>
        <v>0</v>
      </c>
    </row>
    <row r="16" spans="1:120" x14ac:dyDescent="0.3">
      <c r="A16" s="87" t="s">
        <v>66</v>
      </c>
      <c r="B16" s="117">
        <f>_xll.GilCalc.CoGilCalc.gCalc("S_I_IS_COMPENEXPENSE",$A$2,TEXT(B$3,"yyyy-mm-dd"),B$5)</f>
        <v>0</v>
      </c>
      <c r="C16" s="117">
        <f>_xll.GilCalc.CoGilCalc.gCalc("S_I_IS_COMPENEXPENSE",$A$2,TEXT(C$3,"yyyy-mm-dd"),C$5)</f>
        <v>0</v>
      </c>
      <c r="D16" s="117">
        <f>_xll.GilCalc.CoGilCalc.gCalc("S_I_IS_COMPENEXPENSE",$A$2,TEXT(D$3,"yyyy-mm-dd"),D$5)</f>
        <v>0</v>
      </c>
      <c r="E16" s="117">
        <f>_xll.GilCalc.CoGilCalc.gCalc("S_I_IS_COMPENEXPENSE",$A$2,TEXT(E$3,"yyyy-mm-dd"),E$5)</f>
        <v>0</v>
      </c>
      <c r="F16" s="117">
        <f>_xll.GilCalc.CoGilCalc.gCalc("S_I_IS_COMPENEXPENSE",$A$2,TEXT(F$3,"yyyy-mm-dd"),F$5)</f>
        <v>0</v>
      </c>
      <c r="G16" s="117">
        <f>_xll.GilCalc.CoGilCalc.gCalc("S_I_IS_COMPENEXPENSE",$A$2,TEXT(G$3,"yyyy-mm-dd"),G$5)</f>
        <v>0</v>
      </c>
    </row>
    <row r="17" spans="1:7" x14ac:dyDescent="0.3">
      <c r="A17" s="87" t="s">
        <v>67</v>
      </c>
      <c r="B17" s="118">
        <f>_xll.GilCalc.CoGilCalc.gCalc("S_I_IS_PREMIUMRESERVE",$A$2,TEXT(B$3,"yyyy-mm-dd"),B$5)/unit</f>
        <v>0</v>
      </c>
      <c r="C17" s="118">
        <f>_xll.GilCalc.CoGilCalc.gCalc("S_I_IS_PREMIUMRESERVE",$A$2,TEXT(C$3,"yyyy-mm-dd"),C$5)/unit</f>
        <v>0</v>
      </c>
      <c r="D17" s="118">
        <f>_xll.GilCalc.CoGilCalc.gCalc("S_I_IS_PREMIUMRESERVE",$A$2,TEXT(D$3,"yyyy-mm-dd"),D$5)/unit</f>
        <v>0</v>
      </c>
      <c r="E17" s="118">
        <f>_xll.GilCalc.CoGilCalc.gCalc("S_I_IS_PREMIUMRESERVE",$A$2,TEXT(E$3,"yyyy-mm-dd"),E$5)/unit</f>
        <v>0</v>
      </c>
      <c r="F17" s="118">
        <f>_xll.GilCalc.CoGilCalc.gCalc("S_I_IS_PREMIUMRESERVE",$A$2,TEXT(F$3,"yyyy-mm-dd"),F$5)/unit</f>
        <v>0</v>
      </c>
      <c r="G17" s="118">
        <f>_xll.GilCalc.CoGilCalc.gCalc("S_I_IS_PREMIUMRESERVE",$A$2,TEXT(G$3,"yyyy-mm-dd"),G$5)/unit</f>
        <v>0</v>
      </c>
    </row>
    <row r="18" spans="1:7" x14ac:dyDescent="0.3">
      <c r="A18" s="87" t="s">
        <v>68</v>
      </c>
      <c r="B18" s="117">
        <f>_xll.GilCalc.CoGilCalc.gCalc("S_I_IS_DIVIPAYOUT",$A$2,TEXT(B$3,"yyyy-mm-dd"),B$5)/unit</f>
        <v>0</v>
      </c>
      <c r="C18" s="117">
        <f>_xll.GilCalc.CoGilCalc.gCalc("S_I_IS_DIVIPAYOUT",$A$2,TEXT(C$3,"yyyy-mm-dd"),C$5)/unit</f>
        <v>0</v>
      </c>
      <c r="D18" s="117">
        <f>_xll.GilCalc.CoGilCalc.gCalc("S_I_IS_DIVIPAYOUT",$A$2,TEXT(D$3,"yyyy-mm-dd"),D$5)/unit</f>
        <v>0</v>
      </c>
      <c r="E18" s="117">
        <f>_xll.GilCalc.CoGilCalc.gCalc("S_I_IS_DIVIPAYOUT",$A$2,TEXT(E$3,"yyyy-mm-dd"),E$5)/unit</f>
        <v>0</v>
      </c>
      <c r="F18" s="117">
        <f>_xll.GilCalc.CoGilCalc.gCalc("S_I_IS_DIVIPAYOUT",$A$2,TEXT(F$3,"yyyy-mm-dd"),F$5)/unit</f>
        <v>0</v>
      </c>
      <c r="G18" s="117">
        <f>_xll.GilCalc.CoGilCalc.gCalc("S_I_IS_DIVIPAYOUT",$A$2,TEXT(G$3,"yyyy-mm-dd"),G$5)/unit</f>
        <v>0</v>
      </c>
    </row>
    <row r="19" spans="1:7" x14ac:dyDescent="0.3">
      <c r="A19" s="87" t="s">
        <v>69</v>
      </c>
      <c r="B19" s="118">
        <f>_xll.GilCalc.CoGilCalc.gCalc("S_I_IS_REINSURCOST",$A$2,TEXT(B$3,"yyyy-mm-dd"),B$5)/unit</f>
        <v>0</v>
      </c>
      <c r="C19" s="118">
        <f>_xll.GilCalc.CoGilCalc.gCalc("S_I_IS_REINSURCOST",$A$2,TEXT(C$3,"yyyy-mm-dd"),C$5)/unit</f>
        <v>0</v>
      </c>
      <c r="D19" s="118">
        <f>_xll.GilCalc.CoGilCalc.gCalc("S_I_IS_REINSURCOST",$A$2,TEXT(D$3,"yyyy-mm-dd"),D$5)/unit</f>
        <v>0</v>
      </c>
      <c r="E19" s="118">
        <f>_xll.GilCalc.CoGilCalc.gCalc("S_I_IS_REINSURCOST",$A$2,TEXT(E$3,"yyyy-mm-dd"),E$5)/unit</f>
        <v>0</v>
      </c>
      <c r="F19" s="118">
        <f>_xll.GilCalc.CoGilCalc.gCalc("S_I_IS_REINSURCOST",$A$2,TEXT(F$3,"yyyy-mm-dd"),F$5)/unit</f>
        <v>0</v>
      </c>
      <c r="G19" s="118">
        <f>_xll.GilCalc.CoGilCalc.gCalc("S_I_IS_REINSURCOST",$A$2,TEXT(G$3,"yyyy-mm-dd"),G$5)/unit</f>
        <v>0</v>
      </c>
    </row>
    <row r="20" spans="1:7" x14ac:dyDescent="0.3">
      <c r="A20" s="87" t="s">
        <v>70</v>
      </c>
      <c r="B20" s="117">
        <f>_xll.GilCalc.CoGilCalc.gCalc("S_E_IS_OPTAXSUR",$A$2,TEXT(B$3,"yyyy-mm-dd"),B$5)/unit</f>
        <v>2940.9801859999998</v>
      </c>
      <c r="C20" s="117">
        <f>_xll.GilCalc.CoGilCalc.gCalc("S_E_IS_OPTAXSUR",$A$2,TEXT(C$3,"yyyy-mm-dd"),C$5)/unit</f>
        <v>235.07076099999998</v>
      </c>
      <c r="D20" s="117">
        <f>_xll.GilCalc.CoGilCalc.gCalc("S_E_IS_OPTAXSUR",$A$2,TEXT(D$3,"yyyy-mm-dd"),D$5)/unit</f>
        <v>928.56105500000012</v>
      </c>
      <c r="E20" s="117">
        <f>_xll.GilCalc.CoGilCalc.gCalc("S_E_IS_OPTAXSUR",$A$2,TEXT(E$3,"yyyy-mm-dd"),E$5)/unit</f>
        <v>1504.0023659999999</v>
      </c>
      <c r="F20" s="117">
        <f>_xll.GilCalc.CoGilCalc.gCalc("S_E_IS_OPTAXSUR",$A$2,TEXT(F$3,"yyyy-mm-dd"),F$5)/unit</f>
        <v>3010.8682410000001</v>
      </c>
      <c r="G20" s="117">
        <f>_xll.GilCalc.CoGilCalc.gCalc("S_E_IS_OPTAXSUR",$A$2,TEXT(G$3,"yyyy-mm-dd"),G$5)/unit</f>
        <v>289.01426700000002</v>
      </c>
    </row>
    <row r="21" spans="1:7" x14ac:dyDescent="0.3">
      <c r="A21" s="87" t="s">
        <v>71</v>
      </c>
      <c r="B21" s="118">
        <f>_xll.GilCalc.CoGilCalc.gCalc("S_E_IS_SALEEXPENSE",$A$2,TEXT(B$3,"yyyy-mm-dd"),B$5)/unit</f>
        <v>26934.057131999998</v>
      </c>
      <c r="C21" s="118">
        <f>_xll.GilCalc.CoGilCalc.gCalc("S_E_IS_SALEEXPENSE",$A$2,TEXT(C$3,"yyyy-mm-dd"),C$5)/unit</f>
        <v>6044.6089060000004</v>
      </c>
      <c r="D21" s="118">
        <f>_xll.GilCalc.CoGilCalc.gCalc("S_E_IS_SALEEXPENSE",$A$2,TEXT(D$3,"yyyy-mm-dd"),D$5)/unit</f>
        <v>10830.019095</v>
      </c>
      <c r="E21" s="118">
        <f>_xll.GilCalc.CoGilCalc.gCalc("S_E_IS_SALEEXPENSE",$A$2,TEXT(E$3,"yyyy-mm-dd"),E$5)/unit</f>
        <v>17132.921025</v>
      </c>
      <c r="F21" s="118">
        <f>_xll.GilCalc.CoGilCalc.gCalc("S_E_IS_SALEEXPENSE",$A$2,TEXT(F$3,"yyyy-mm-dd"),F$5)/unit</f>
        <v>29934.694033</v>
      </c>
      <c r="G21" s="118">
        <f>_xll.GilCalc.CoGilCalc.gCalc("S_E_IS_SALEEXPENSE",$A$2,TEXT(G$3,"yyyy-mm-dd"),G$5)/unit</f>
        <v>4941.8614880000005</v>
      </c>
    </row>
    <row r="22" spans="1:7" x14ac:dyDescent="0.3">
      <c r="A22" s="87" t="s">
        <v>72</v>
      </c>
      <c r="B22" s="117">
        <f>_xll.GilCalc.CoGilCalc.gCalc("S_E_IS_ADMINEXPENSE",$A$2,TEXT(B$3,"yyyy-mm-dd"),B$5)/unit</f>
        <v>8108.1868190000014</v>
      </c>
      <c r="C22" s="117">
        <f>_xll.GilCalc.CoGilCalc.gCalc("S_E_IS_ADMINEXPENSE",$A$2,TEXT(C$3,"yyyy-mm-dd"),C$5)/unit</f>
        <v>2923.2599730000002</v>
      </c>
      <c r="D22" s="117">
        <f>_xll.GilCalc.CoGilCalc.gCalc("S_E_IS_ADMINEXPENSE",$A$2,TEXT(D$3,"yyyy-mm-dd"),D$5)/unit</f>
        <v>6496.4968829999998</v>
      </c>
      <c r="E22" s="117">
        <f>_xll.GilCalc.CoGilCalc.gCalc("S_E_IS_ADMINEXPENSE",$A$2,TEXT(E$3,"yyyy-mm-dd"),E$5)/unit</f>
        <v>5603.3872710000005</v>
      </c>
      <c r="F22" s="117">
        <f>_xll.GilCalc.CoGilCalc.gCalc("S_E_IS_ADMINEXPENSE",$A$2,TEXT(F$3,"yyyy-mm-dd"),F$5)/unit</f>
        <v>7674.2104069999996</v>
      </c>
      <c r="G22" s="117">
        <f>_xll.GilCalc.CoGilCalc.gCalc("S_E_IS_ADMINEXPENSE",$A$2,TEXT(G$3,"yyyy-mm-dd"),G$5)/unit</f>
        <v>1812.2061940000001</v>
      </c>
    </row>
    <row r="23" spans="1:7" x14ac:dyDescent="0.3">
      <c r="A23" s="87" t="s">
        <v>73</v>
      </c>
      <c r="B23" s="118">
        <f>_xll.GilCalc.CoGilCalc.gCalc("S_E_IS_FINANCIALEXPENSE",$A$2,TEXT(B$3,"yyyy-mm-dd"),B$5)/unit</f>
        <v>-1486.8381340000001</v>
      </c>
      <c r="C23" s="118">
        <f>_xll.GilCalc.CoGilCalc.gCalc("S_E_IS_FINANCIALEXPENSE",$A$2,TEXT(C$3,"yyyy-mm-dd"),C$5)/unit</f>
        <v>-409.770194</v>
      </c>
      <c r="D23" s="118">
        <f>_xll.GilCalc.CoGilCalc.gCalc("S_E_IS_FINANCIALEXPENSE",$A$2,TEXT(D$3,"yyyy-mm-dd"),D$5)/unit</f>
        <v>-822.79103699999996</v>
      </c>
      <c r="E23" s="118">
        <f>_xll.GilCalc.CoGilCalc.gCalc("S_E_IS_FINANCIALEXPENSE",$A$2,TEXT(E$3,"yyyy-mm-dd"),E$5)/unit</f>
        <v>-1187.435031</v>
      </c>
      <c r="F23" s="118">
        <f>_xll.GilCalc.CoGilCalc.gCalc("S_E_IS_FINANCIALEXPENSE",$A$2,TEXT(F$3,"yyyy-mm-dd"),F$5)/unit</f>
        <v>-1596.521311</v>
      </c>
      <c r="G23" s="118">
        <f>_xll.GilCalc.CoGilCalc.gCalc("S_E_IS_FINANCIALEXPENSE",$A$2,TEXT(G$3,"yyyy-mm-dd"),G$5)/unit</f>
        <v>-672.38257099999998</v>
      </c>
    </row>
    <row r="24" spans="1:7" x14ac:dyDescent="0.3">
      <c r="A24" s="87" t="s">
        <v>74</v>
      </c>
      <c r="B24" s="117">
        <f>_xll.GilCalc.CoGilCalc.gCalc("S_E_IS_ASSETIMPAIRLOSS",$A$2,TEXT(B$3,"yyyy-mm-dd"),B$5)/unit</f>
        <v>4121.5390640000005</v>
      </c>
      <c r="C24" s="117">
        <f>_xll.GilCalc.CoGilCalc.gCalc("S_E_IS_ASSETIMPAIRLOSS",$A$2,TEXT(C$3,"yyyy-mm-dd"),C$5)/unit</f>
        <v>223.29148500000002</v>
      </c>
      <c r="D24" s="117">
        <f>_xll.GilCalc.CoGilCalc.gCalc("S_E_IS_ASSETIMPAIRLOSS",$A$2,TEXT(D$3,"yyyy-mm-dd"),D$5)/unit</f>
        <v>4325.9105490000002</v>
      </c>
      <c r="E24" s="117">
        <f>_xll.GilCalc.CoGilCalc.gCalc("S_E_IS_ASSETIMPAIRLOSS",$A$2,TEXT(E$3,"yyyy-mm-dd"),E$5)/unit</f>
        <v>4605.3413520000004</v>
      </c>
      <c r="F24" s="117">
        <f>_xll.GilCalc.CoGilCalc.gCalc("S_E_IS_ASSETIMPAIRLOSS",$A$2,TEXT(F$3,"yyyy-mm-dd"),F$5)/unit</f>
        <v>8712.1431240000002</v>
      </c>
      <c r="G24" s="117">
        <f>_xll.GilCalc.CoGilCalc.gCalc("S_E_IS_ASSETIMPAIRLOSS",$A$2,TEXT(G$3,"yyyy-mm-dd"),G$5)/unit</f>
        <v>339.00870400000002</v>
      </c>
    </row>
    <row r="25" spans="1:7" x14ac:dyDescent="0.3">
      <c r="A25" s="81" t="s">
        <v>75</v>
      </c>
      <c r="B25" s="118"/>
      <c r="C25" s="118"/>
      <c r="D25" s="118"/>
      <c r="E25" s="118"/>
      <c r="F25" s="118"/>
      <c r="G25" s="118"/>
    </row>
    <row r="26" spans="1:7" x14ac:dyDescent="0.3">
      <c r="A26" s="87" t="s">
        <v>76</v>
      </c>
      <c r="B26" s="117">
        <f>_xll.GilCalc.CoGilCalc.gCalc("S_E_IS_FAIRVALUECHANGE",$A$2,TEXT(B$3,"yyyy-mm-dd"),B$5)/unit</f>
        <v>0</v>
      </c>
      <c r="C26" s="117">
        <f>_xll.GilCalc.CoGilCalc.gCalc("S_E_IS_FAIRVALUECHANGE",$A$2,TEXT(C$3,"yyyy-mm-dd"),C$5)/unit</f>
        <v>0</v>
      </c>
      <c r="D26" s="117">
        <f>_xll.GilCalc.CoGilCalc.gCalc("S_E_IS_FAIRVALUECHANGE",$A$2,TEXT(D$3,"yyyy-mm-dd"),D$5)/unit</f>
        <v>0</v>
      </c>
      <c r="E26" s="117">
        <f>_xll.GilCalc.CoGilCalc.gCalc("S_E_IS_FAIRVALUECHANGE",$A$2,TEXT(E$3,"yyyy-mm-dd"),E$5)/unit</f>
        <v>0</v>
      </c>
      <c r="F26" s="117">
        <f>_xll.GilCalc.CoGilCalc.gCalc("S_E_IS_FAIRVALUECHANGE",$A$2,TEXT(F$3,"yyyy-mm-dd"),F$5)/unit</f>
        <v>0</v>
      </c>
      <c r="G26" s="117">
        <f>_xll.GilCalc.CoGilCalc.gCalc("S_E_IS_FAIRVALUECHANGE",$A$2,TEXT(G$3,"yyyy-mm-dd"),G$5)/unit</f>
        <v>0</v>
      </c>
    </row>
    <row r="27" spans="1:7" x14ac:dyDescent="0.3">
      <c r="A27" s="87" t="s">
        <v>77</v>
      </c>
      <c r="B27" s="118">
        <f>_xll.GilCalc.CoGilCalc.gCalc("S_E_IS_INVESTINCOME",$A$2,TEXT(B$3,"yyyy-mm-dd"),B$5)/unit</f>
        <v>-419.18508100000003</v>
      </c>
      <c r="C27" s="118">
        <f>_xll.GilCalc.CoGilCalc.gCalc("S_E_IS_INVESTINCOME",$A$2,TEXT(C$3,"yyyy-mm-dd"),C$5)/unit</f>
        <v>473.85148200000003</v>
      </c>
      <c r="D27" s="118">
        <f>_xll.GilCalc.CoGilCalc.gCalc("S_E_IS_INVESTINCOME",$A$2,TEXT(D$3,"yyyy-mm-dd"),D$5)/unit</f>
        <v>1063.5334519999999</v>
      </c>
      <c r="E27" s="118">
        <f>_xll.GilCalc.CoGilCalc.gCalc("S_E_IS_INVESTINCOME",$A$2,TEXT(E$3,"yyyy-mm-dd"),E$5)/unit</f>
        <v>5599.7744400000001</v>
      </c>
      <c r="F27" s="118">
        <f>_xll.GilCalc.CoGilCalc.gCalc("S_E_IS_INVESTINCOME",$A$2,TEXT(F$3,"yyyy-mm-dd"),F$5)/unit</f>
        <v>8534.8143560000008</v>
      </c>
      <c r="G27" s="118">
        <f>_xll.GilCalc.CoGilCalc.gCalc("S_E_IS_INVESTINCOME",$A$2,TEXT(G$3,"yyyy-mm-dd"),G$5)/unit</f>
        <v>-403.80760699999996</v>
      </c>
    </row>
    <row r="28" spans="1:7" x14ac:dyDescent="0.3">
      <c r="A28" s="87" t="s">
        <v>78</v>
      </c>
      <c r="B28" s="117">
        <f>_xll.GilCalc.CoGilCalc.gCalc("S_E_IS_INVESTIN_UNION",$A$2,TEXT(B$3,"yyyy-mm-dd"),B$5)/unit</f>
        <v>-419.18508100000003</v>
      </c>
      <c r="C28" s="117">
        <f>_xll.GilCalc.CoGilCalc.gCalc("S_E_IS_INVESTIN_UNION",$A$2,TEXT(C$3,"yyyy-mm-dd"),C$5)/unit</f>
        <v>-205.46358700000002</v>
      </c>
      <c r="D28" s="117">
        <f>_xll.GilCalc.CoGilCalc.gCalc("S_E_IS_INVESTIN_UNION",$A$2,TEXT(D$3,"yyyy-mm-dd"),D$5)/unit</f>
        <v>-304.15322799999996</v>
      </c>
      <c r="E28" s="117">
        <f>_xll.GilCalc.CoGilCalc.gCalc("S_E_IS_INVESTIN_UNION",$A$2,TEXT(E$3,"yyyy-mm-dd"),E$5)/unit</f>
        <v>-891.37728300000003</v>
      </c>
      <c r="F28" s="117">
        <f>_xll.GilCalc.CoGilCalc.gCalc("S_E_IS_INVESTIN_UNION",$A$2,TEXT(F$3,"yyyy-mm-dd"),F$5)/unit</f>
        <v>-1365.431595</v>
      </c>
      <c r="G28" s="117">
        <f>_xll.GilCalc.CoGilCalc.gCalc("S_E_IS_INVESTIN_UNION",$A$2,TEXT(G$3,"yyyy-mm-dd"),G$5)/unit</f>
        <v>-544.68260700000008</v>
      </c>
    </row>
    <row r="29" spans="1:7" x14ac:dyDescent="0.3">
      <c r="A29" s="87" t="s">
        <v>79</v>
      </c>
      <c r="B29" s="118">
        <f>_xll.GilCalc.CoGilCalc.gCalc("S_E_IS_EXGAINLOSS",$A$2,TEXT(B$3,"yyyy-mm-dd"),B$5)/unit</f>
        <v>0</v>
      </c>
      <c r="C29" s="118">
        <f>_xll.GilCalc.CoGilCalc.gCalc("S_E_IS_EXGAINLOSS",$A$2,TEXT(C$3,"yyyy-mm-dd"),C$5)/unit</f>
        <v>0</v>
      </c>
      <c r="D29" s="118">
        <f>_xll.GilCalc.CoGilCalc.gCalc("S_E_IS_EXGAINLOSS",$A$2,TEXT(D$3,"yyyy-mm-dd"),D$5)/unit</f>
        <v>0</v>
      </c>
      <c r="E29" s="118">
        <f>_xll.GilCalc.CoGilCalc.gCalc("S_E_IS_EXGAINLOSS",$A$2,TEXT(E$3,"yyyy-mm-dd"),E$5)/unit</f>
        <v>0</v>
      </c>
      <c r="F29" s="118">
        <f>_xll.GilCalc.CoGilCalc.gCalc("S_E_IS_EXGAINLOSS",$A$2,TEXT(F$3,"yyyy-mm-dd"),F$5)/unit</f>
        <v>0</v>
      </c>
      <c r="G29" s="118">
        <f>_xll.GilCalc.CoGilCalc.gCalc("S_E_IS_EXGAINLOSS",$A$2,TEXT(G$3,"yyyy-mm-dd"),G$5)/unit</f>
        <v>0</v>
      </c>
    </row>
    <row r="30" spans="1:7" x14ac:dyDescent="0.3">
      <c r="A30" s="87" t="s">
        <v>80</v>
      </c>
      <c r="B30" s="117">
        <f>B31-B6+B11-B26-B27-B29</f>
        <v>3.4912909999952149</v>
      </c>
      <c r="C30" s="117">
        <f t="shared" ref="C30:G30" si="1">C31-C6+C11-C26-C27-C29</f>
        <v>261.98190699999941</v>
      </c>
      <c r="D30" s="117">
        <f t="shared" si="1"/>
        <v>524.00499800000011</v>
      </c>
      <c r="E30" s="117">
        <f t="shared" si="1"/>
        <v>785.94572099999004</v>
      </c>
      <c r="F30" s="117">
        <f t="shared" si="1"/>
        <v>1154.6605669999863</v>
      </c>
      <c r="G30" s="117">
        <f t="shared" si="1"/>
        <v>664.00825700000246</v>
      </c>
    </row>
    <row r="31" spans="1:7" x14ac:dyDescent="0.3">
      <c r="A31" s="81" t="s">
        <v>81</v>
      </c>
      <c r="B31" s="118">
        <f>_xll.GilCalc.CoGilCalc.gCalc("S_E_IS_OPPROFIT",$A$2,TEXT(B$3,"yyyy-mm-dd"),B$5)/unit</f>
        <v>27465.56525</v>
      </c>
      <c r="C31" s="118">
        <f>_xll.GilCalc.CoGilCalc.gCalc("S_E_IS_OPPROFIT",$A$2,TEXT(C$3,"yyyy-mm-dd"),C$5)/unit</f>
        <v>2179.1623359999999</v>
      </c>
      <c r="D31" s="118">
        <f>_xll.GilCalc.CoGilCalc.gCalc("S_E_IS_OPPROFIT",$A$2,TEXT(D$3,"yyyy-mm-dd"),D$5)/unit</f>
        <v>8068.8967970000003</v>
      </c>
      <c r="E31" s="118">
        <f>_xll.GilCalc.CoGilCalc.gCalc("S_E_IS_OPPROFIT",$A$2,TEXT(E$3,"yyyy-mm-dd"),E$5)/unit</f>
        <v>14702.763347</v>
      </c>
      <c r="F31" s="118">
        <f>_xll.GilCalc.CoGilCalc.gCalc("S_E_IS_OPPROFIT",$A$2,TEXT(F$3,"yyyy-mm-dd"),F$5)/unit</f>
        <v>24746.311625999999</v>
      </c>
      <c r="G31" s="118">
        <f>_xll.GilCalc.CoGilCalc.gCalc("S_E_IS_OPPROFIT",$A$2,TEXT(G$3,"yyyy-mm-dd"),G$5)/unit</f>
        <v>2331.6106129999998</v>
      </c>
    </row>
    <row r="32" spans="1:7" x14ac:dyDescent="0.3">
      <c r="A32" s="87" t="s">
        <v>82</v>
      </c>
      <c r="B32" s="117">
        <f>_xll.GilCalc.CoGilCalc.gCalc("S_E_IS_NONOPINCOME",$A$2,TEXT(B$3,"yyyy-mm-dd"),B$5)/unit</f>
        <v>632.29576100000008</v>
      </c>
      <c r="C32" s="117">
        <f>_xll.GilCalc.CoGilCalc.gCalc("S_E_IS_NONOPINCOME",$A$2,TEXT(C$3,"yyyy-mm-dd"),C$5)/unit</f>
        <v>0.23932800000000001</v>
      </c>
      <c r="D32" s="117">
        <f>_xll.GilCalc.CoGilCalc.gCalc("S_E_IS_NONOPINCOME",$A$2,TEXT(D$3,"yyyy-mm-dd"),D$5)/unit</f>
        <v>2701.2933499999999</v>
      </c>
      <c r="E32" s="117">
        <f>_xll.GilCalc.CoGilCalc.gCalc("S_E_IS_NONOPINCOME",$A$2,TEXT(E$3,"yyyy-mm-dd"),E$5)/unit</f>
        <v>2707.9457459999999</v>
      </c>
      <c r="F32" s="117">
        <f>_xll.GilCalc.CoGilCalc.gCalc("S_E_IS_NONOPINCOME",$A$2,TEXT(F$3,"yyyy-mm-dd"),F$5)/unit</f>
        <v>3731.1366450000005</v>
      </c>
      <c r="G32" s="117">
        <f>_xll.GilCalc.CoGilCalc.gCalc("S_E_IS_NONOPINCOME",$A$2,TEXT(G$3,"yyyy-mm-dd"),G$5)/unit</f>
        <v>1.5498000000000001</v>
      </c>
    </row>
    <row r="33" spans="1:7" x14ac:dyDescent="0.3">
      <c r="A33" s="87" t="s">
        <v>83</v>
      </c>
      <c r="B33" s="118">
        <f>_xll.GilCalc.CoGilCalc.gCalc("S_E_IS_NONOPEXPENSE",$A$2,TEXT(B$3,"yyyy-mm-dd"),B$5)/unit</f>
        <v>27.887545000000003</v>
      </c>
      <c r="C33" s="118">
        <f>_xll.GilCalc.CoGilCalc.gCalc("S_E_IS_NONOPEXPENSE",$A$2,TEXT(C$3,"yyyy-mm-dd"),C$5)/unit</f>
        <v>5.0162760000000004</v>
      </c>
      <c r="D33" s="118">
        <f>_xll.GilCalc.CoGilCalc.gCalc("S_E_IS_NONOPEXPENSE",$A$2,TEXT(D$3,"yyyy-mm-dd"),D$5)/unit</f>
        <v>1.3526929999999999</v>
      </c>
      <c r="E33" s="118">
        <f>_xll.GilCalc.CoGilCalc.gCalc("S_E_IS_NONOPEXPENSE",$A$2,TEXT(E$3,"yyyy-mm-dd"),E$5)/unit</f>
        <v>5.912693</v>
      </c>
      <c r="F33" s="118">
        <f>_xll.GilCalc.CoGilCalc.gCalc("S_E_IS_NONOPEXPENSE",$A$2,TEXT(F$3,"yyyy-mm-dd"),F$5)/unit</f>
        <v>33.652592999999996</v>
      </c>
      <c r="G33" s="118">
        <f>_xll.GilCalc.CoGilCalc.gCalc("S_E_IS_NONOPEXPENSE",$A$2,TEXT(G$3,"yyyy-mm-dd"),G$5)/unit</f>
        <v>17.866634000000001</v>
      </c>
    </row>
    <row r="34" spans="1:7" x14ac:dyDescent="0.3">
      <c r="A34" s="87" t="s">
        <v>84</v>
      </c>
      <c r="B34" s="117">
        <f>_xll.GilCalc.CoGilCalc.gCalc("S_E_IS_NONCADEALLOSS",$A$2,TEXT(B$3,"yyyy-mm-dd"),B$5)/unit</f>
        <v>0</v>
      </c>
      <c r="C34" s="117">
        <f>_xll.GilCalc.CoGilCalc.gCalc("S_E_IS_NONCADEALLOSS",$A$2,TEXT(C$3,"yyyy-mm-dd"),C$5)/unit</f>
        <v>0</v>
      </c>
      <c r="D34" s="117">
        <f>_xll.GilCalc.CoGilCalc.gCalc("S_E_IS_NONCADEALLOSS",$A$2,TEXT(D$3,"yyyy-mm-dd"),D$5)/unit</f>
        <v>0</v>
      </c>
      <c r="E34" s="117">
        <f>_xll.GilCalc.CoGilCalc.gCalc("S_E_IS_NONCADEALLOSS",$A$2,TEXT(E$3,"yyyy-mm-dd"),E$5)/unit</f>
        <v>0</v>
      </c>
      <c r="F34" s="117">
        <f>_xll.GilCalc.CoGilCalc.gCalc("S_E_IS_NONCADEALLOSS",$A$2,TEXT(F$3,"yyyy-mm-dd"),F$5)/unit</f>
        <v>0</v>
      </c>
      <c r="G34" s="117">
        <f>_xll.GilCalc.CoGilCalc.gCalc("S_E_IS_NONCADEALLOSS",$A$2,TEXT(G$3,"yyyy-mm-dd"),G$5)/unit</f>
        <v>0</v>
      </c>
    </row>
    <row r="35" spans="1:7" x14ac:dyDescent="0.3">
      <c r="A35" s="87" t="s">
        <v>85</v>
      </c>
      <c r="B35" s="118">
        <f>B36-B31-B32+B33</f>
        <v>-3.907985046680551E-12</v>
      </c>
      <c r="C35" s="118">
        <f t="shared" ref="C35:G35" si="2">C36-C31-C32+C33</f>
        <v>-1.7497114868092467E-13</v>
      </c>
      <c r="D35" s="118">
        <f t="shared" si="2"/>
        <v>1.8252066524837574E-13</v>
      </c>
      <c r="E35" s="118">
        <f t="shared" si="2"/>
        <v>-6.723510637129948E-13</v>
      </c>
      <c r="F35" s="118">
        <f t="shared" si="2"/>
        <v>-7.1054273576010019E-13</v>
      </c>
      <c r="G35" s="118">
        <f t="shared" si="2"/>
        <v>2.5579538487363607E-13</v>
      </c>
    </row>
    <row r="36" spans="1:7" x14ac:dyDescent="0.3">
      <c r="A36" s="81" t="s">
        <v>86</v>
      </c>
      <c r="B36" s="117">
        <f>_xll.GilCalc.CoGilCalc.gCalc("S_E_IS_TOTALPROFIT",$A$2,TEXT(B$3,"yyyy-mm-dd"),B$5)/unit</f>
        <v>28069.973465999996</v>
      </c>
      <c r="C36" s="117">
        <f>_xll.GilCalc.CoGilCalc.gCalc("S_E_IS_TOTALPROFIT",$A$2,TEXT(C$3,"yyyy-mm-dd"),C$5)/unit</f>
        <v>2174.3853879999997</v>
      </c>
      <c r="D36" s="117">
        <f>_xll.GilCalc.CoGilCalc.gCalc("S_E_IS_TOTALPROFIT",$A$2,TEXT(D$3,"yyyy-mm-dd"),D$5)/unit</f>
        <v>10768.837454</v>
      </c>
      <c r="E36" s="117">
        <f>_xll.GilCalc.CoGilCalc.gCalc("S_E_IS_TOTALPROFIT",$A$2,TEXT(E$3,"yyyy-mm-dd"),E$5)/unit</f>
        <v>17404.796399999999</v>
      </c>
      <c r="F36" s="117">
        <f>_xll.GilCalc.CoGilCalc.gCalc("S_E_IS_TOTALPROFIT",$A$2,TEXT(F$3,"yyyy-mm-dd"),F$5)/unit</f>
        <v>28443.795677999999</v>
      </c>
      <c r="G36" s="117">
        <f>_xll.GilCalc.CoGilCalc.gCalc("S_E_IS_TOTALPROFIT",$A$2,TEXT(G$3,"yyyy-mm-dd"),G$5)/unit</f>
        <v>2315.2937790000001</v>
      </c>
    </row>
    <row r="37" spans="1:7" x14ac:dyDescent="0.3">
      <c r="A37" s="87" t="s">
        <v>87</v>
      </c>
      <c r="B37" s="118">
        <f>_xll.GilCalc.CoGilCalc.gCalc("S_E_IS_TAXCOST",$A$2,TEXT(B$3,"yyyy-mm-dd"),B$5)/unit</f>
        <v>56.289425999999999</v>
      </c>
      <c r="C37" s="118">
        <f>_xll.GilCalc.CoGilCalc.gCalc("S_E_IS_TAXCOST",$A$2,TEXT(C$3,"yyyy-mm-dd"),C$5)/unit</f>
        <v>48.249490999999999</v>
      </c>
      <c r="D37" s="118">
        <f>_xll.GilCalc.CoGilCalc.gCalc("S_E_IS_TAXCOST",$A$2,TEXT(D$3,"yyyy-mm-dd"),D$5)/unit</f>
        <v>65.047865000000002</v>
      </c>
      <c r="E37" s="118">
        <f>_xll.GilCalc.CoGilCalc.gCalc("S_E_IS_TAXCOST",$A$2,TEXT(E$3,"yyyy-mm-dd"),E$5)/unit</f>
        <v>175.85611200000002</v>
      </c>
      <c r="F37" s="118">
        <f>_xll.GilCalc.CoGilCalc.gCalc("S_E_IS_TAXCOST",$A$2,TEXT(F$3,"yyyy-mm-dd"),F$5)/unit</f>
        <v>170.00296200000003</v>
      </c>
      <c r="G37" s="118">
        <f>_xll.GilCalc.CoGilCalc.gCalc("S_E_IS_TAXCOST",$A$2,TEXT(G$3,"yyyy-mm-dd"),G$5)/unit</f>
        <v>20.053106</v>
      </c>
    </row>
    <row r="38" spans="1:7" x14ac:dyDescent="0.3">
      <c r="A38" s="87" t="s">
        <v>88</v>
      </c>
      <c r="B38" s="117">
        <f>_xll.GilCalc.CoGilCalc.gCalc("S_E_BS_UNCERINVESTLOSS",$A$2,TEXT(B$3,"yyyy-mm-dd"),B$5)/unit</f>
        <v>0</v>
      </c>
      <c r="C38" s="117">
        <f>_xll.GilCalc.CoGilCalc.gCalc("S_E_BS_UNCERINVESTLOSS",$A$2,TEXT(C$3,"yyyy-mm-dd"),C$5)/unit</f>
        <v>0</v>
      </c>
      <c r="D38" s="117">
        <f>_xll.GilCalc.CoGilCalc.gCalc("S_E_BS_UNCERINVESTLOSS",$A$2,TEXT(D$3,"yyyy-mm-dd"),D$5)/unit</f>
        <v>0</v>
      </c>
      <c r="E38" s="117">
        <f>_xll.GilCalc.CoGilCalc.gCalc("S_E_BS_UNCERINVESTLOSS",$A$2,TEXT(E$3,"yyyy-mm-dd"),E$5)/unit</f>
        <v>0</v>
      </c>
      <c r="F38" s="117">
        <f>_xll.GilCalc.CoGilCalc.gCalc("S_E_BS_UNCERINVESTLOSS",$A$2,TEXT(F$3,"yyyy-mm-dd"),F$5)/unit</f>
        <v>0</v>
      </c>
      <c r="G38" s="117">
        <f>_xll.GilCalc.CoGilCalc.gCalc("S_E_BS_UNCERINVESTLOSS",$A$2,TEXT(G$3,"yyyy-mm-dd"),G$5)/unit</f>
        <v>0</v>
      </c>
    </row>
    <row r="39" spans="1:7" x14ac:dyDescent="0.3">
      <c r="A39" s="87" t="s">
        <v>89</v>
      </c>
      <c r="B39" s="118">
        <f>B40-B36+B37-B38</f>
        <v>6.3238303482648917E-13</v>
      </c>
      <c r="C39" s="118">
        <f t="shared" ref="C39:G39" si="3">C40-C36+C37-C38</f>
        <v>-3.5527136788005009E-14</v>
      </c>
      <c r="D39" s="118">
        <f t="shared" si="3"/>
        <v>-4.5474735088646412E-13</v>
      </c>
      <c r="E39" s="118">
        <f t="shared" si="3"/>
        <v>-1.2789769243681803E-12</v>
      </c>
      <c r="F39" s="118">
        <f t="shared" si="3"/>
        <v>5.0022208597511053E-12</v>
      </c>
      <c r="G39" s="118">
        <f t="shared" si="3"/>
        <v>1.5631940186722204E-13</v>
      </c>
    </row>
    <row r="40" spans="1:7" x14ac:dyDescent="0.3">
      <c r="A40" s="81" t="s">
        <v>90</v>
      </c>
      <c r="B40" s="117">
        <f>_xll.GilCalc.CoGilCalc.gCalc("S_E_IS_NETPROFIT",$A$2,TEXT(B$3,"yyyy-mm-dd"),B$5)/unit</f>
        <v>28013.684039999996</v>
      </c>
      <c r="C40" s="117">
        <f>_xll.GilCalc.CoGilCalc.gCalc("S_E_IS_NETPROFIT",$A$2,TEXT(C$3,"yyyy-mm-dd"),C$5)/unit</f>
        <v>2126.1358969999997</v>
      </c>
      <c r="D40" s="117">
        <f>_xll.GilCalc.CoGilCalc.gCalc("S_E_IS_NETPROFIT",$A$2,TEXT(D$3,"yyyy-mm-dd"),D$5)/unit</f>
        <v>10703.789589</v>
      </c>
      <c r="E40" s="117">
        <f>_xll.GilCalc.CoGilCalc.gCalc("S_E_IS_NETPROFIT",$A$2,TEXT(E$3,"yyyy-mm-dd"),E$5)/unit</f>
        <v>17228.940287999998</v>
      </c>
      <c r="F40" s="117">
        <f>_xll.GilCalc.CoGilCalc.gCalc("S_E_IS_NETPROFIT",$A$2,TEXT(F$3,"yyyy-mm-dd"),F$5)/unit</f>
        <v>28273.792716000004</v>
      </c>
      <c r="G40" s="117">
        <f>_xll.GilCalc.CoGilCalc.gCalc("S_E_IS_NETPROFIT",$A$2,TEXT(G$3,"yyyy-mm-dd"),G$5)/unit</f>
        <v>2295.2406730000002</v>
      </c>
    </row>
    <row r="41" spans="1:7" x14ac:dyDescent="0.3">
      <c r="A41" s="87" t="s">
        <v>91</v>
      </c>
      <c r="B41" s="118">
        <f>_xll.GilCalc.CoGilCalc.gCalc("S_E_IS_MINORITYPROFIT",$A$2,TEXT(B$3,"yyyy-mm-dd"),B$5)/unit</f>
        <v>0</v>
      </c>
      <c r="C41" s="118">
        <f>_xll.GilCalc.CoGilCalc.gCalc("S_E_IS_MINORITYPROFIT",$A$2,TEXT(C$3,"yyyy-mm-dd"),C$5)/unit</f>
        <v>31.855596999999996</v>
      </c>
      <c r="D41" s="118">
        <f>_xll.GilCalc.CoGilCalc.gCalc("S_E_IS_MINORITYPROFIT",$A$2,TEXT(D$3,"yyyy-mm-dd"),D$5)/unit</f>
        <v>-1.8709930000000001</v>
      </c>
      <c r="E41" s="118">
        <f>_xll.GilCalc.CoGilCalc.gCalc("S_E_IS_MINORITYPROFIT",$A$2,TEXT(E$3,"yyyy-mm-dd"),E$5)/unit</f>
        <v>145.562217</v>
      </c>
      <c r="F41" s="118">
        <f>_xll.GilCalc.CoGilCalc.gCalc("S_E_IS_MINORITYPROFIT",$A$2,TEXT(F$3,"yyyy-mm-dd"),F$5)/unit</f>
        <v>-122.33537699999998</v>
      </c>
      <c r="G41" s="118">
        <f>_xll.GilCalc.CoGilCalc.gCalc("S_E_IS_MINORITYPROFIT",$A$2,TEXT(G$3,"yyyy-mm-dd"),G$5)/unit</f>
        <v>-77.327534999999997</v>
      </c>
    </row>
    <row r="42" spans="1:7" x14ac:dyDescent="0.3">
      <c r="A42" s="87" t="s">
        <v>92</v>
      </c>
      <c r="B42" s="117">
        <f>_xll.GilCalc.CoGilCalc.gCalc("S_E_IS_NPPARENT",$A$2,TEXT(B$3,"yyyy-mm-dd"),B$5)/unit</f>
        <v>28013.684039999996</v>
      </c>
      <c r="C42" s="117">
        <f>_xll.GilCalc.CoGilCalc.gCalc("S_E_IS_NPPARENT",$A$2,TEXT(C$3,"yyyy-mm-dd"),C$5)/unit</f>
        <v>2094.2802999999999</v>
      </c>
      <c r="D42" s="117">
        <f>_xll.GilCalc.CoGilCalc.gCalc("S_E_IS_NPPARENT",$A$2,TEXT(D$3,"yyyy-mm-dd"),D$5)/unit</f>
        <v>10705.660581999999</v>
      </c>
      <c r="E42" s="117">
        <f>_xll.GilCalc.CoGilCalc.gCalc("S_E_IS_NPPARENT",$A$2,TEXT(E$3,"yyyy-mm-dd"),E$5)/unit</f>
        <v>17083.378070999999</v>
      </c>
      <c r="F42" s="117">
        <f>_xll.GilCalc.CoGilCalc.gCalc("S_E_IS_NPPARENT",$A$2,TEXT(F$3,"yyyy-mm-dd"),F$5)/unit</f>
        <v>28396.128092999999</v>
      </c>
      <c r="G42" s="117">
        <f>_xll.GilCalc.CoGilCalc.gCalc("S_E_IS_NPPARENT",$A$2,TEXT(G$3,"yyyy-mm-dd"),G$5)/unit</f>
        <v>2372.5682079999997</v>
      </c>
    </row>
    <row r="43" spans="1:7" x14ac:dyDescent="0.3">
      <c r="A43" s="81" t="s">
        <v>93</v>
      </c>
      <c r="B43" s="118"/>
      <c r="C43" s="118"/>
      <c r="D43" s="118"/>
      <c r="E43" s="118"/>
      <c r="F43" s="118"/>
      <c r="G43" s="118"/>
    </row>
    <row r="44" spans="1:7" x14ac:dyDescent="0.3">
      <c r="A44" s="87" t="s">
        <v>94</v>
      </c>
      <c r="B44" s="117">
        <f>_xll.GilCalc.CoGilCalc.gCalc("S_E_IS_EPS_BASIC",$A$2,TEXT(B$3,"yyyy-mm-dd"),B$5)</f>
        <v>0.68</v>
      </c>
      <c r="C44" s="117">
        <f>_xll.GilCalc.CoGilCalc.gCalc("S_E_IS_EPS_BASIC",$A$2,TEXT(C$3,"yyyy-mm-dd"),C$5)</f>
        <v>3.9399999999999998E-2</v>
      </c>
      <c r="D44" s="117">
        <f>_xll.GilCalc.CoGilCalc.gCalc("S_E_IS_EPS_BASIC",$A$2,TEXT(D$3,"yyyy-mm-dd"),D$5)</f>
        <v>0.20630000000000001</v>
      </c>
      <c r="E44" s="117">
        <f>_xll.GilCalc.CoGilCalc.gCalc("S_E_IS_EPS_BASIC",$A$2,TEXT(E$3,"yyyy-mm-dd"),E$5)</f>
        <v>0.3291</v>
      </c>
      <c r="F44" s="117">
        <f>_xll.GilCalc.CoGilCalc.gCalc("S_E_IS_EPS_BASIC",$A$2,TEXT(F$3,"yyyy-mm-dd"),F$5)</f>
        <v>0.54710000000000003</v>
      </c>
      <c r="G44" s="117">
        <f>_xll.GilCalc.CoGilCalc.gCalc("S_E_IS_EPS_BASIC",$A$2,TEXT(G$3,"yyyy-mm-dd"),G$5)</f>
        <v>4.5699999999999998E-2</v>
      </c>
    </row>
    <row r="45" spans="1:7" x14ac:dyDescent="0.3">
      <c r="A45" s="87" t="s">
        <v>95</v>
      </c>
      <c r="B45" s="118">
        <f>_xll.GilCalc.CoGilCalc.gCalc("S_E_IS_EPS_DILUTED",$A$2,TEXT(B$3,"yyyy-mm-dd"),B$5)</f>
        <v>0.68</v>
      </c>
      <c r="C45" s="118">
        <f>_xll.GilCalc.CoGilCalc.gCalc("S_E_IS_EPS_DILUTED",$A$2,TEXT(C$3,"yyyy-mm-dd"),C$5)</f>
        <v>3.9399999999999998E-2</v>
      </c>
      <c r="D45" s="118">
        <f>_xll.GilCalc.CoGilCalc.gCalc("S_E_IS_EPS_DILUTED",$A$2,TEXT(D$3,"yyyy-mm-dd"),D$5)</f>
        <v>0.20630000000000001</v>
      </c>
      <c r="E45" s="118">
        <f>_xll.GilCalc.CoGilCalc.gCalc("S_E_IS_EPS_DILUTED",$A$2,TEXT(E$3,"yyyy-mm-dd"),E$5)</f>
        <v>0.3291</v>
      </c>
      <c r="F45" s="118">
        <f>_xll.GilCalc.CoGilCalc.gCalc("S_E_IS_EPS_DILUTED",$A$2,TEXT(F$3,"yyyy-mm-dd"),F$5)</f>
        <v>0.54710000000000003</v>
      </c>
      <c r="G45" s="118">
        <f>_xll.GilCalc.CoGilCalc.gCalc("S_E_IS_EPS_DILUTED",$A$2,TEXT(G$3,"yyyy-mm-dd"),G$5)</f>
        <v>4.5699999999999998E-2</v>
      </c>
    </row>
    <row r="46" spans="1:7" x14ac:dyDescent="0.3">
      <c r="A46" s="88"/>
      <c r="B46" s="89"/>
      <c r="C46" s="89"/>
      <c r="D46" s="89"/>
      <c r="E46" s="89"/>
      <c r="F46" s="89"/>
      <c r="G46" s="89"/>
    </row>
    <row r="47" spans="1:7" x14ac:dyDescent="0.3">
      <c r="A47" s="81" t="s">
        <v>96</v>
      </c>
      <c r="B47" s="86">
        <f>IF(_xll.GilCalc.CoGilCalc.gCalc("S_E_BS_TOTALASSETS",$A$2,TEXT(B$3,"yyyy-mm-dd"),1)=0,0,1)</f>
        <v>1</v>
      </c>
      <c r="C47" s="86">
        <f>IF(_xll.GilCalc.CoGilCalc.gCalc("S_E_BS_TOTALASSETS",$A$2,TEXT(C$3,"yyyy-mm-dd"),1)=0,0,1)</f>
        <v>0</v>
      </c>
      <c r="D47" s="86">
        <f>IF(_xll.GilCalc.CoGilCalc.gCalc("S_E_BS_TOTALASSETS",$A$2,TEXT(D$3,"yyyy-mm-dd"),1)=0,0,1)</f>
        <v>0</v>
      </c>
      <c r="E47" s="86">
        <f>IF(_xll.GilCalc.CoGilCalc.gCalc("S_E_BS_TOTALASSETS",$A$2,TEXT(E$3,"yyyy-mm-dd"),1)=0,0,1)</f>
        <v>0</v>
      </c>
      <c r="F47" s="86">
        <f>IF(_xll.GilCalc.CoGilCalc.gCalc("S_E_BS_TOTALASSETS",$A$2,TEXT(F$3,"yyyy-mm-dd"),1)=0,0,1)</f>
        <v>1</v>
      </c>
      <c r="G47" s="86">
        <f>IF(_xll.GilCalc.CoGilCalc.gCalc("S_E_BS_TOTALASSETS",$A$2,TEXT(G$3,"yyyy-mm-dd"),1)=0,0,1)</f>
        <v>0</v>
      </c>
    </row>
    <row r="48" spans="1:7" x14ac:dyDescent="0.3">
      <c r="A48" s="81" t="s">
        <v>97</v>
      </c>
      <c r="B48" s="119"/>
      <c r="C48" s="119"/>
      <c r="D48" s="119"/>
      <c r="E48" s="119"/>
      <c r="F48" s="119"/>
      <c r="G48" s="119"/>
    </row>
    <row r="49" spans="1:7" x14ac:dyDescent="0.3">
      <c r="A49" s="87" t="s">
        <v>98</v>
      </c>
      <c r="B49" s="117">
        <f>_xll.GilCalc.CoGilCalc.gCalc("S_E_BS_CASHEQUIVALENTS",$A$2,TEXT(B$3,"yyyy-mm-dd"),B$47)/unit</f>
        <v>123740.489781</v>
      </c>
      <c r="C49" s="117">
        <f>_xll.GilCalc.CoGilCalc.gCalc("S_E_BS_CASHEQUIVALENTS",$A$2,TEXT(C$3,"yyyy-mm-dd"),C$47)/unit</f>
        <v>192783.25576900001</v>
      </c>
      <c r="D49" s="117">
        <f>_xll.GilCalc.CoGilCalc.gCalc("S_E_BS_CASHEQUIVALENTS",$A$2,TEXT(D$3,"yyyy-mm-dd"),D$47)/unit</f>
        <v>154078.620127</v>
      </c>
      <c r="E49" s="117">
        <f>_xll.GilCalc.CoGilCalc.gCalc("S_E_BS_CASHEQUIVALENTS",$A$2,TEXT(E$3,"yyyy-mm-dd"),E$47)/unit</f>
        <v>125567.90833900002</v>
      </c>
      <c r="F49" s="117">
        <f>_xll.GilCalc.CoGilCalc.gCalc("S_E_BS_CASHEQUIVALENTS",$A$2,TEXT(F$3,"yyyy-mm-dd"),F$47)/unit</f>
        <v>218915.25972500001</v>
      </c>
      <c r="G49" s="117">
        <f>_xll.GilCalc.CoGilCalc.gCalc("S_E_BS_CASHEQUIVALENTS",$A$2,TEXT(G$3,"yyyy-mm-dd"),G$47)/unit</f>
        <v>168560.61356700002</v>
      </c>
    </row>
    <row r="50" spans="1:7" x14ac:dyDescent="0.3">
      <c r="A50" s="87" t="s">
        <v>99</v>
      </c>
      <c r="B50" s="118">
        <f>_xll.GilCalc.CoGilCalc.gCalc("S_S_BS_SETTLEMENTPROVI",$A$2,TEXT(B$3,"yyyy-mm-dd"),B$47)/unit</f>
        <v>0</v>
      </c>
      <c r="C50" s="118">
        <f>_xll.GilCalc.CoGilCalc.gCalc("S_S_BS_SETTLEMENTPROVI",$A$2,TEXT(C$3,"yyyy-mm-dd"),C$47)/unit</f>
        <v>0</v>
      </c>
      <c r="D50" s="118">
        <f>_xll.GilCalc.CoGilCalc.gCalc("S_S_BS_SETTLEMENTPROVI",$A$2,TEXT(D$3,"yyyy-mm-dd"),D$47)/unit</f>
        <v>0</v>
      </c>
      <c r="E50" s="118">
        <f>_xll.GilCalc.CoGilCalc.gCalc("S_S_BS_SETTLEMENTPROVI",$A$2,TEXT(E$3,"yyyy-mm-dd"),E$47)/unit</f>
        <v>0</v>
      </c>
      <c r="F50" s="118">
        <f>_xll.GilCalc.CoGilCalc.gCalc("S_S_BS_SETTLEMENTPROVI",$A$2,TEXT(F$3,"yyyy-mm-dd"),F$47)/unit</f>
        <v>0</v>
      </c>
      <c r="G50" s="118">
        <f>_xll.GilCalc.CoGilCalc.gCalc("S_S_BS_SETTLEMENTPROVI",$A$2,TEXT(G$3,"yyyy-mm-dd"),G$47)/unit</f>
        <v>0</v>
      </c>
    </row>
    <row r="51" spans="1:7" x14ac:dyDescent="0.3">
      <c r="A51" s="87" t="s">
        <v>100</v>
      </c>
      <c r="B51" s="117">
        <f>_xll.GilCalc.CoGilCalc.gCalc("S_S_BS_LENDCAPITAL",$A$2,TEXT(B$3,"yyyy-mm-dd"),B$47)/unit</f>
        <v>0</v>
      </c>
      <c r="C51" s="117">
        <f>_xll.GilCalc.CoGilCalc.gCalc("S_S_BS_LENDCAPITAL",$A$2,TEXT(C$3,"yyyy-mm-dd"),C$47)/unit</f>
        <v>0</v>
      </c>
      <c r="D51" s="117">
        <f>_xll.GilCalc.CoGilCalc.gCalc("S_S_BS_LENDCAPITAL",$A$2,TEXT(D$3,"yyyy-mm-dd"),D$47)/unit</f>
        <v>0</v>
      </c>
      <c r="E51" s="117">
        <f>_xll.GilCalc.CoGilCalc.gCalc("S_S_BS_LENDCAPITAL",$A$2,TEXT(E$3,"yyyy-mm-dd"),E$47)/unit</f>
        <v>0</v>
      </c>
      <c r="F51" s="117">
        <f>_xll.GilCalc.CoGilCalc.gCalc("S_S_BS_LENDCAPITAL",$A$2,TEXT(F$3,"yyyy-mm-dd"),F$47)/unit</f>
        <v>0</v>
      </c>
      <c r="G51" s="117">
        <f>_xll.GilCalc.CoGilCalc.gCalc("S_S_BS_LENDCAPITAL",$A$2,TEXT(G$3,"yyyy-mm-dd"),G$47)/unit</f>
        <v>0</v>
      </c>
    </row>
    <row r="52" spans="1:7" x14ac:dyDescent="0.3">
      <c r="A52" s="87" t="s">
        <v>101</v>
      </c>
      <c r="B52" s="118">
        <f>_xll.GilCalc.CoGilCalc.gCalc("S_E_BS_TRADINGFINASSETS",$A$2,TEXT(B$3,"yyyy-mm-dd"),B$47)/unit</f>
        <v>0</v>
      </c>
      <c r="C52" s="118">
        <f>_xll.GilCalc.CoGilCalc.gCalc("S_E_BS_TRADINGFINASSETS",$A$2,TEXT(C$3,"yyyy-mm-dd"),C$47)/unit</f>
        <v>0</v>
      </c>
      <c r="D52" s="118">
        <f>_xll.GilCalc.CoGilCalc.gCalc("S_E_BS_TRADINGFINASSETS",$A$2,TEXT(D$3,"yyyy-mm-dd"),D$47)/unit</f>
        <v>0</v>
      </c>
      <c r="E52" s="118">
        <f>_xll.GilCalc.CoGilCalc.gCalc("S_E_BS_TRADINGFINASSETS",$A$2,TEXT(E$3,"yyyy-mm-dd"),E$47)/unit</f>
        <v>0</v>
      </c>
      <c r="F52" s="118">
        <f>_xll.GilCalc.CoGilCalc.gCalc("S_E_BS_TRADINGFINASSETS",$A$2,TEXT(F$3,"yyyy-mm-dd"),F$47)/unit</f>
        <v>0</v>
      </c>
      <c r="G52" s="118">
        <f>_xll.GilCalc.CoGilCalc.gCalc("S_E_BS_TRADINGFINASSETS",$A$2,TEXT(G$3,"yyyy-mm-dd"),G$47)/unit</f>
        <v>0</v>
      </c>
    </row>
    <row r="53" spans="1:7" x14ac:dyDescent="0.3">
      <c r="A53" s="87" t="s">
        <v>102</v>
      </c>
      <c r="B53" s="117">
        <f>_xll.GilCalc.CoGilCalc.gCalc("S_E_BS_BILLRECEIVABLE",$A$2,TEXT(B$3,"yyyy-mm-dd"),B$47)/unit</f>
        <v>1476.9965999999999</v>
      </c>
      <c r="C53" s="117">
        <f>_xll.GilCalc.CoGilCalc.gCalc("S_E_BS_BILLRECEIVABLE",$A$2,TEXT(C$3,"yyyy-mm-dd"),C$47)/unit</f>
        <v>155.5496</v>
      </c>
      <c r="D53" s="117">
        <f>_xll.GilCalc.CoGilCalc.gCalc("S_E_BS_BILLRECEIVABLE",$A$2,TEXT(D$3,"yyyy-mm-dd"),D$47)/unit</f>
        <v>132.49794300000002</v>
      </c>
      <c r="E53" s="117">
        <f>_xll.GilCalc.CoGilCalc.gCalc("S_E_BS_BILLRECEIVABLE",$A$2,TEXT(E$3,"yyyy-mm-dd"),E$47)/unit</f>
        <v>134.52498400000002</v>
      </c>
      <c r="F53" s="117">
        <f>_xll.GilCalc.CoGilCalc.gCalc("S_E_BS_BILLRECEIVABLE",$A$2,TEXT(F$3,"yyyy-mm-dd"),F$47)/unit</f>
        <v>1504.3226500000001</v>
      </c>
      <c r="G53" s="117">
        <f>_xll.GilCalc.CoGilCalc.gCalc("S_E_BS_BILLRECEIVABLE",$A$2,TEXT(G$3,"yyyy-mm-dd"),G$47)/unit</f>
        <v>1335.31</v>
      </c>
    </row>
    <row r="54" spans="1:7" x14ac:dyDescent="0.3">
      <c r="A54" s="87" t="s">
        <v>103</v>
      </c>
      <c r="B54" s="118">
        <f>_xll.GilCalc.CoGilCalc.gCalc("S_E_BS_ACCOUNTRECEIVABLE",$A$2,TEXT(B$3,"yyyy-mm-dd"),B$47)/unit</f>
        <v>43224.137818000003</v>
      </c>
      <c r="C54" s="118">
        <f>_xll.GilCalc.CoGilCalc.gCalc("S_E_BS_ACCOUNTRECEIVABLE",$A$2,TEXT(C$3,"yyyy-mm-dd"),C$47)/unit</f>
        <v>49291.691458000001</v>
      </c>
      <c r="D54" s="118">
        <f>_xll.GilCalc.CoGilCalc.gCalc("S_E_BS_ACCOUNTRECEIVABLE",$A$2,TEXT(D$3,"yyyy-mm-dd"),D$47)/unit</f>
        <v>59058.009021999991</v>
      </c>
      <c r="E54" s="118">
        <f>_xll.GilCalc.CoGilCalc.gCalc("S_E_BS_ACCOUNTRECEIVABLE",$A$2,TEXT(E$3,"yyyy-mm-dd"),E$47)/unit</f>
        <v>58775.806734999991</v>
      </c>
      <c r="F54" s="118">
        <f>_xll.GilCalc.CoGilCalc.gCalc("S_E_BS_ACCOUNTRECEIVABLE",$A$2,TEXT(F$3,"yyyy-mm-dd"),F$47)/unit</f>
        <v>51450.919911000005</v>
      </c>
      <c r="G54" s="118">
        <f>_xll.GilCalc.CoGilCalc.gCalc("S_E_BS_ACCOUNTRECEIVABLE",$A$2,TEXT(G$3,"yyyy-mm-dd"),G$47)/unit</f>
        <v>50327.750043</v>
      </c>
    </row>
    <row r="55" spans="1:7" x14ac:dyDescent="0.3">
      <c r="A55" s="87" t="s">
        <v>104</v>
      </c>
      <c r="B55" s="117">
        <f>_xll.GilCalc.CoGilCalc.gCalc("S_E_BS_ADVANCEPAYMENT",$A$2,TEXT(B$3,"yyyy-mm-dd"),B$47)/unit</f>
        <v>3007.014572</v>
      </c>
      <c r="C55" s="117">
        <f>_xll.GilCalc.CoGilCalc.gCalc("S_E_BS_ADVANCEPAYMENT",$A$2,TEXT(C$3,"yyyy-mm-dd"),C$47)/unit</f>
        <v>4948.6106310000005</v>
      </c>
      <c r="D55" s="117">
        <f>_xll.GilCalc.CoGilCalc.gCalc("S_E_BS_ADVANCEPAYMENT",$A$2,TEXT(D$3,"yyyy-mm-dd"),D$47)/unit</f>
        <v>3452.8534439999999</v>
      </c>
      <c r="E55" s="117">
        <f>_xll.GilCalc.CoGilCalc.gCalc("S_E_BS_ADVANCEPAYMENT",$A$2,TEXT(E$3,"yyyy-mm-dd"),E$47)/unit</f>
        <v>3846.0077149999997</v>
      </c>
      <c r="F55" s="117">
        <f>_xll.GilCalc.CoGilCalc.gCalc("S_E_BS_ADVANCEPAYMENT",$A$2,TEXT(F$3,"yyyy-mm-dd"),F$47)/unit</f>
        <v>5176.4394130000001</v>
      </c>
      <c r="G55" s="117">
        <f>_xll.GilCalc.CoGilCalc.gCalc("S_E_BS_ADVANCEPAYMENT",$A$2,TEXT(G$3,"yyyy-mm-dd"),G$47)/unit</f>
        <v>5856.5885049999997</v>
      </c>
    </row>
    <row r="56" spans="1:7" x14ac:dyDescent="0.3">
      <c r="A56" s="87" t="s">
        <v>105</v>
      </c>
      <c r="B56" s="118">
        <f>_xll.GilCalc.CoGilCalc.gCalc("S_I_BS_INSURRECEIVABLE",$A$2,TEXT(B$3,"yyyy-mm-dd"),B$47)/unit</f>
        <v>0</v>
      </c>
      <c r="C56" s="118">
        <f>_xll.GilCalc.CoGilCalc.gCalc("S_I_BS_INSURRECEIVABLE",$A$2,TEXT(C$3,"yyyy-mm-dd"),C$47)/unit</f>
        <v>0</v>
      </c>
      <c r="D56" s="118">
        <f>_xll.GilCalc.CoGilCalc.gCalc("S_I_BS_INSURRECEIVABLE",$A$2,TEXT(D$3,"yyyy-mm-dd"),D$47)/unit</f>
        <v>0</v>
      </c>
      <c r="E56" s="118">
        <f>_xll.GilCalc.CoGilCalc.gCalc("S_I_BS_INSURRECEIVABLE",$A$2,TEXT(E$3,"yyyy-mm-dd"),E$47)/unit</f>
        <v>0</v>
      </c>
      <c r="F56" s="118">
        <f>_xll.GilCalc.CoGilCalc.gCalc("S_I_BS_INSURRECEIVABLE",$A$2,TEXT(F$3,"yyyy-mm-dd"),F$47)/unit</f>
        <v>0</v>
      </c>
      <c r="G56" s="118">
        <f>_xll.GilCalc.CoGilCalc.gCalc("S_I_BS_INSURRECEIVABLE",$A$2,TEXT(G$3,"yyyy-mm-dd"),G$47)/unit</f>
        <v>0</v>
      </c>
    </row>
    <row r="57" spans="1:7" x14ac:dyDescent="0.3">
      <c r="A57" s="87" t="s">
        <v>106</v>
      </c>
      <c r="B57" s="117">
        <f>_xll.GilCalc.CoGilCalc.gCalc("S_I_BS_REINSURRECEIVABLE",$A$2,TEXT(B$3,"yyyy-mm-dd"),B$47)/unit</f>
        <v>0</v>
      </c>
      <c r="C57" s="117">
        <f>_xll.GilCalc.CoGilCalc.gCalc("S_I_BS_REINSURRECEIVABLE",$A$2,TEXT(C$3,"yyyy-mm-dd"),C$47)/unit</f>
        <v>0</v>
      </c>
      <c r="D57" s="117">
        <f>_xll.GilCalc.CoGilCalc.gCalc("S_I_BS_REINSURRECEIVABLE",$A$2,TEXT(D$3,"yyyy-mm-dd"),D$47)/unit</f>
        <v>0</v>
      </c>
      <c r="E57" s="117">
        <f>_xll.GilCalc.CoGilCalc.gCalc("S_I_BS_REINSURRECEIVABLE",$A$2,TEXT(E$3,"yyyy-mm-dd"),E$47)/unit</f>
        <v>0</v>
      </c>
      <c r="F57" s="117">
        <f>_xll.GilCalc.CoGilCalc.gCalc("S_I_BS_REINSURRECEIVABLE",$A$2,TEXT(F$3,"yyyy-mm-dd"),F$47)/unit</f>
        <v>0</v>
      </c>
      <c r="G57" s="117">
        <f>_xll.GilCalc.CoGilCalc.gCalc("S_I_BS_REINSURRECEIVABLE",$A$2,TEXT(G$3,"yyyy-mm-dd"),G$47)/unit</f>
        <v>0</v>
      </c>
    </row>
    <row r="58" spans="1:7" x14ac:dyDescent="0.3">
      <c r="A58" s="87" t="s">
        <v>107</v>
      </c>
      <c r="B58" s="118">
        <f>_xll.GilCalc.CoGilCalc.gCalc("S_I_BS_UNEARNEDRRECEIVABLE",$A$2,TEXT(B$3,"yyyy-mm-dd"),B$47)/unit</f>
        <v>0</v>
      </c>
      <c r="C58" s="118">
        <f>_xll.GilCalc.CoGilCalc.gCalc("S_I_BS_UNEARNEDRRECEIVABLE",$A$2,TEXT(C$3,"yyyy-mm-dd"),C$47)/unit</f>
        <v>0</v>
      </c>
      <c r="D58" s="118">
        <f>_xll.GilCalc.CoGilCalc.gCalc("S_I_BS_UNEARNEDRRECEIVABLE",$A$2,TEXT(D$3,"yyyy-mm-dd"),D$47)/unit</f>
        <v>0</v>
      </c>
      <c r="E58" s="118">
        <f>_xll.GilCalc.CoGilCalc.gCalc("S_I_BS_UNEARNEDRRECEIVABLE",$A$2,TEXT(E$3,"yyyy-mm-dd"),E$47)/unit</f>
        <v>0</v>
      </c>
      <c r="F58" s="118">
        <f>_xll.GilCalc.CoGilCalc.gCalc("S_I_BS_UNEARNEDRRECEIVABLE",$A$2,TEXT(F$3,"yyyy-mm-dd"),F$47)/unit</f>
        <v>0</v>
      </c>
      <c r="G58" s="118">
        <f>_xll.GilCalc.CoGilCalc.gCalc("S_I_BS_UNEARNEDRRECEIVABLE",$A$2,TEXT(G$3,"yyyy-mm-dd"),G$47)/unit</f>
        <v>0</v>
      </c>
    </row>
    <row r="59" spans="1:7" x14ac:dyDescent="0.3">
      <c r="A59" s="87" t="s">
        <v>108</v>
      </c>
      <c r="B59" s="117">
        <f>_xll.GilCalc.CoGilCalc.gCalc("S_E_BS_INTERESTRECEIVABLE",$A$2,TEXT(B$3,"yyyy-mm-dd"),B$47)/unit</f>
        <v>396.75162</v>
      </c>
      <c r="C59" s="117">
        <f>_xll.GilCalc.CoGilCalc.gCalc("S_E_BS_INTERESTRECEIVABLE",$A$2,TEXT(C$3,"yyyy-mm-dd"),C$47)/unit</f>
        <v>468.20167099999998</v>
      </c>
      <c r="D59" s="117">
        <f>_xll.GilCalc.CoGilCalc.gCalc("S_E_BS_INTERESTRECEIVABLE",$A$2,TEXT(D$3,"yyyy-mm-dd"),D$47)/unit</f>
        <v>724.61087300000008</v>
      </c>
      <c r="E59" s="117">
        <f>_xll.GilCalc.CoGilCalc.gCalc("S_E_BS_INTERESTRECEIVABLE",$A$2,TEXT(E$3,"yyyy-mm-dd"),E$47)/unit</f>
        <v>682.72180300000002</v>
      </c>
      <c r="F59" s="117">
        <f>_xll.GilCalc.CoGilCalc.gCalc("S_E_BS_INTERESTRECEIVABLE",$A$2,TEXT(F$3,"yyyy-mm-dd"),F$47)/unit</f>
        <v>324.31727899999998</v>
      </c>
      <c r="G59" s="117">
        <f>_xll.GilCalc.CoGilCalc.gCalc("S_E_BS_INTERESTRECEIVABLE",$A$2,TEXT(G$3,"yyyy-mm-dd"),G$47)/unit</f>
        <v>682.72362999999996</v>
      </c>
    </row>
    <row r="60" spans="1:7" x14ac:dyDescent="0.3">
      <c r="A60" s="87" t="s">
        <v>109</v>
      </c>
      <c r="B60" s="118">
        <f>_xll.GilCalc.CoGilCalc.gCalc("S_E_BS_OTHERRECEIVABLE",$A$2,TEXT(B$3,"yyyy-mm-dd"),B$47)/unit</f>
        <v>1189.8841619999998</v>
      </c>
      <c r="C60" s="118">
        <f>_xll.GilCalc.CoGilCalc.gCalc("S_E_BS_OTHERRECEIVABLE",$A$2,TEXT(C$3,"yyyy-mm-dd"),C$47)/unit</f>
        <v>1740.6075269999999</v>
      </c>
      <c r="D60" s="118">
        <f>_xll.GilCalc.CoGilCalc.gCalc("S_E_BS_OTHERRECEIVABLE",$A$2,TEXT(D$3,"yyyy-mm-dd"),D$47)/unit</f>
        <v>2140.9473320000002</v>
      </c>
      <c r="E60" s="118">
        <f>_xll.GilCalc.CoGilCalc.gCalc("S_E_BS_OTHERRECEIVABLE",$A$2,TEXT(E$3,"yyyy-mm-dd"),E$47)/unit</f>
        <v>2196.1172820000002</v>
      </c>
      <c r="F60" s="118">
        <f>_xll.GilCalc.CoGilCalc.gCalc("S_E_BS_OTHERRECEIVABLE",$A$2,TEXT(F$3,"yyyy-mm-dd"),F$47)/unit</f>
        <v>0</v>
      </c>
      <c r="G60" s="118">
        <f>_xll.GilCalc.CoGilCalc.gCalc("S_E_BS_OTHERRECEIVABLE",$A$2,TEXT(G$3,"yyyy-mm-dd"),G$47)/unit</f>
        <v>4789.4980679999999</v>
      </c>
    </row>
    <row r="61" spans="1:7" x14ac:dyDescent="0.3">
      <c r="A61" s="87" t="s">
        <v>110</v>
      </c>
      <c r="B61" s="117">
        <f>_xll.GilCalc.CoGilCalc.gCalc("S_E_BS_DIVIRECEIVABLE",$A$2,TEXT(B$3,"yyyy-mm-dd"),B$47)/unit</f>
        <v>0</v>
      </c>
      <c r="C61" s="117">
        <f>_xll.GilCalc.CoGilCalc.gCalc("S_E_BS_DIVIRECEIVABLE",$A$2,TEXT(C$3,"yyyy-mm-dd"),C$47)/unit</f>
        <v>0</v>
      </c>
      <c r="D61" s="117">
        <f>_xll.GilCalc.CoGilCalc.gCalc("S_E_BS_DIVIRECEIVABLE",$A$2,TEXT(D$3,"yyyy-mm-dd"),D$47)/unit</f>
        <v>0</v>
      </c>
      <c r="E61" s="117">
        <f>_xll.GilCalc.CoGilCalc.gCalc("S_E_BS_DIVIRECEIVABLE",$A$2,TEXT(E$3,"yyyy-mm-dd"),E$47)/unit</f>
        <v>162.50001</v>
      </c>
      <c r="F61" s="117">
        <f>_xll.GilCalc.CoGilCalc.gCalc("S_E_BS_DIVIRECEIVABLE",$A$2,TEXT(F$3,"yyyy-mm-dd"),F$47)/unit</f>
        <v>0</v>
      </c>
      <c r="G61" s="117">
        <f>_xll.GilCalc.CoGilCalc.gCalc("S_E_BS_DIVIRECEIVABLE",$A$2,TEXT(G$3,"yyyy-mm-dd"),G$47)/unit</f>
        <v>0</v>
      </c>
    </row>
    <row r="62" spans="1:7" x14ac:dyDescent="0.3">
      <c r="A62" s="87" t="s">
        <v>111</v>
      </c>
      <c r="B62" s="118">
        <f>_xll.GilCalc.CoGilCalc.gCalc("S_S_BS_BOUGHTSELLASSETS",$A$2,TEXT(B$3,"yyyy-mm-dd"),B$47)/unit</f>
        <v>0</v>
      </c>
      <c r="C62" s="118">
        <f>_xll.GilCalc.CoGilCalc.gCalc("S_S_BS_BOUGHTSELLASSETS",$A$2,TEXT(C$3,"yyyy-mm-dd"),C$47)/unit</f>
        <v>0</v>
      </c>
      <c r="D62" s="118">
        <f>_xll.GilCalc.CoGilCalc.gCalc("S_S_BS_BOUGHTSELLASSETS",$A$2,TEXT(D$3,"yyyy-mm-dd"),D$47)/unit</f>
        <v>0</v>
      </c>
      <c r="E62" s="118">
        <f>_xll.GilCalc.CoGilCalc.gCalc("S_S_BS_BOUGHTSELLASSETS",$A$2,TEXT(E$3,"yyyy-mm-dd"),E$47)/unit</f>
        <v>0</v>
      </c>
      <c r="F62" s="118">
        <f>_xll.GilCalc.CoGilCalc.gCalc("S_S_BS_BOUGHTSELLASSETS",$A$2,TEXT(F$3,"yyyy-mm-dd"),F$47)/unit</f>
        <v>0</v>
      </c>
      <c r="G62" s="118">
        <f>_xll.GilCalc.CoGilCalc.gCalc("S_S_BS_BOUGHTSELLASSETS",$A$2,TEXT(G$3,"yyyy-mm-dd"),G$47)/unit</f>
        <v>0</v>
      </c>
    </row>
    <row r="63" spans="1:7" x14ac:dyDescent="0.3">
      <c r="A63" s="87" t="s">
        <v>112</v>
      </c>
      <c r="B63" s="117">
        <f>_xll.GilCalc.CoGilCalc.gCalc("S_E_BS_INVENTORY",$A$2,TEXT(B$3,"yyyy-mm-dd"),B$47)/unit</f>
        <v>107.242958</v>
      </c>
      <c r="C63" s="117">
        <f>_xll.GilCalc.CoGilCalc.gCalc("S_E_BS_INVENTORY",$A$2,TEXT(C$3,"yyyy-mm-dd"),C$47)/unit</f>
        <v>214.07198799999998</v>
      </c>
      <c r="D63" s="117">
        <f>_xll.GilCalc.CoGilCalc.gCalc("S_E_BS_INVENTORY",$A$2,TEXT(D$3,"yyyy-mm-dd"),D$47)/unit</f>
        <v>359.52482900000001</v>
      </c>
      <c r="E63" s="117">
        <f>_xll.GilCalc.CoGilCalc.gCalc("S_E_BS_INVENTORY",$A$2,TEXT(E$3,"yyyy-mm-dd"),E$47)/unit</f>
        <v>317.28957599999995</v>
      </c>
      <c r="F63" s="117">
        <f>_xll.GilCalc.CoGilCalc.gCalc("S_E_BS_INVENTORY",$A$2,TEXT(F$3,"yyyy-mm-dd"),F$47)/unit</f>
        <v>186.355808</v>
      </c>
      <c r="G63" s="117">
        <f>_xll.GilCalc.CoGilCalc.gCalc("S_E_BS_INVENTORY",$A$2,TEXT(G$3,"yyyy-mm-dd"),G$47)/unit</f>
        <v>302.29816099999999</v>
      </c>
    </row>
    <row r="64" spans="1:7" x14ac:dyDescent="0.3">
      <c r="A64" s="87" t="s">
        <v>113</v>
      </c>
      <c r="B64" s="118">
        <f>_xll.GilCalc.CoGilCalc.gCalc("S_E_BS_BEARBIOASSETS",$A$2,TEXT(B$3,"yyyy-mm-dd"),B$47)/unit</f>
        <v>0</v>
      </c>
      <c r="C64" s="118">
        <f>_xll.GilCalc.CoGilCalc.gCalc("S_E_BS_BEARBIOASSETS",$A$2,TEXT(C$3,"yyyy-mm-dd"),C$47)/unit</f>
        <v>0</v>
      </c>
      <c r="D64" s="118">
        <f>_xll.GilCalc.CoGilCalc.gCalc("S_E_BS_BEARBIOASSETS",$A$2,TEXT(D$3,"yyyy-mm-dd"),D$47)/unit</f>
        <v>0</v>
      </c>
      <c r="E64" s="118">
        <f>_xll.GilCalc.CoGilCalc.gCalc("S_E_BS_BEARBIOASSETS",$A$2,TEXT(E$3,"yyyy-mm-dd"),E$47)/unit</f>
        <v>0</v>
      </c>
      <c r="F64" s="118">
        <f>_xll.GilCalc.CoGilCalc.gCalc("S_E_BS_BEARBIOASSETS",$A$2,TEXT(F$3,"yyyy-mm-dd"),F$47)/unit</f>
        <v>0</v>
      </c>
      <c r="G64" s="118">
        <f>_xll.GilCalc.CoGilCalc.gCalc("S_E_BS_BEARBIOASSETS",$A$2,TEXT(G$3,"yyyy-mm-dd"),G$47)/unit</f>
        <v>0</v>
      </c>
    </row>
    <row r="65" spans="1:7" x14ac:dyDescent="0.3">
      <c r="A65" s="87" t="s">
        <v>114</v>
      </c>
      <c r="B65" s="117">
        <f>_xll.GilCalc.CoGilCalc.gCalc("S_E_BS_NONCAIN1Y",$A$2,TEXT(B$3,"yyyy-mm-dd"),B$47)/unit</f>
        <v>0</v>
      </c>
      <c r="C65" s="117">
        <f>_xll.GilCalc.CoGilCalc.gCalc("S_E_BS_NONCAIN1Y",$A$2,TEXT(C$3,"yyyy-mm-dd"),C$47)/unit</f>
        <v>0</v>
      </c>
      <c r="D65" s="117">
        <f>_xll.GilCalc.CoGilCalc.gCalc("S_E_BS_NONCAIN1Y",$A$2,TEXT(D$3,"yyyy-mm-dd"),D$47)/unit</f>
        <v>0</v>
      </c>
      <c r="E65" s="117">
        <f>_xll.GilCalc.CoGilCalc.gCalc("S_E_BS_NONCAIN1Y",$A$2,TEXT(E$3,"yyyy-mm-dd"),E$47)/unit</f>
        <v>0</v>
      </c>
      <c r="F65" s="117">
        <f>_xll.GilCalc.CoGilCalc.gCalc("S_E_BS_NONCAIN1Y",$A$2,TEXT(F$3,"yyyy-mm-dd"),F$47)/unit</f>
        <v>0</v>
      </c>
      <c r="G65" s="117">
        <f>_xll.GilCalc.CoGilCalc.gCalc("S_E_BS_NONCAIN1Y",$A$2,TEXT(G$3,"yyyy-mm-dd"),G$47)/unit</f>
        <v>0</v>
      </c>
    </row>
    <row r="66" spans="1:7" x14ac:dyDescent="0.3">
      <c r="A66" s="87" t="s">
        <v>115</v>
      </c>
      <c r="B66" s="118">
        <f>_xll.GilCalc.CoGilCalc.gCalc("S_E_BS_DEFFEREDEXPENSE",$A$2,TEXT(B$3,"yyyy-mm-dd"),B$47)/unit</f>
        <v>0</v>
      </c>
      <c r="C66" s="118">
        <f>_xll.GilCalc.CoGilCalc.gCalc("S_E_BS_DEFFEREDEXPENSE",$A$2,TEXT(C$3,"yyyy-mm-dd"),C$47)/unit</f>
        <v>0</v>
      </c>
      <c r="D66" s="118">
        <f>_xll.GilCalc.CoGilCalc.gCalc("S_E_BS_DEFFEREDEXPENSE",$A$2,TEXT(D$3,"yyyy-mm-dd"),D$47)/unit</f>
        <v>0</v>
      </c>
      <c r="E66" s="118">
        <f>_xll.GilCalc.CoGilCalc.gCalc("S_E_BS_DEFFEREDEXPENSE",$A$2,TEXT(E$3,"yyyy-mm-dd"),E$47)/unit</f>
        <v>0</v>
      </c>
      <c r="F66" s="118">
        <f>_xll.GilCalc.CoGilCalc.gCalc("S_E_BS_DEFFEREDEXPENSE",$A$2,TEXT(F$3,"yyyy-mm-dd"),F$47)/unit</f>
        <v>0</v>
      </c>
      <c r="G66" s="118">
        <f>_xll.GilCalc.CoGilCalc.gCalc("S_E_BS_DEFFEREDEXPENSE",$A$2,TEXT(G$3,"yyyy-mm-dd"),G$47)/unit</f>
        <v>0</v>
      </c>
    </row>
    <row r="67" spans="1:7" x14ac:dyDescent="0.3">
      <c r="A67" s="87" t="s">
        <v>116</v>
      </c>
      <c r="B67" s="117">
        <f>_xll.GilCalc.CoGilCalc.gCalc("S_E_BS_OTHERCURRENTASSETS",$A$2,TEXT(B$3,"yyyy-mm-dd"),B$47)/unit</f>
        <v>72500</v>
      </c>
      <c r="C67" s="117">
        <f>_xll.GilCalc.CoGilCalc.gCalc("S_E_BS_OTHERCURRENTASSETS",$A$2,TEXT(C$3,"yyyy-mm-dd"),C$47)/unit</f>
        <v>0</v>
      </c>
      <c r="D67" s="117">
        <f>_xll.GilCalc.CoGilCalc.gCalc("S_E_BS_OTHERCURRENTASSETS",$A$2,TEXT(D$3,"yyyy-mm-dd"),D$47)/unit</f>
        <v>38035</v>
      </c>
      <c r="E67" s="117">
        <f>_xll.GilCalc.CoGilCalc.gCalc("S_E_BS_OTHERCURRENTASSETS",$A$2,TEXT(E$3,"yyyy-mm-dd"),E$47)/unit</f>
        <v>71120</v>
      </c>
      <c r="F67" s="117">
        <f>_xll.GilCalc.CoGilCalc.gCalc("S_E_BS_OTHERCURRENTASSETS",$A$2,TEXT(F$3,"yyyy-mm-dd"),F$47)/unit</f>
        <v>0</v>
      </c>
      <c r="G67" s="117">
        <f>_xll.GilCalc.CoGilCalc.gCalc("S_E_BS_OTHERCURRENTASSETS",$A$2,TEXT(G$3,"yyyy-mm-dd"),G$47)/unit</f>
        <v>40109.446060000002</v>
      </c>
    </row>
    <row r="68" spans="1:7" x14ac:dyDescent="0.3">
      <c r="A68" s="87" t="s">
        <v>117</v>
      </c>
      <c r="B68" s="118">
        <f>B69-SUM(B49:B67,B64)</f>
        <v>0</v>
      </c>
      <c r="C68" s="118">
        <f t="shared" ref="C68:G68" si="4">C69-SUM(C49:C67,C64)</f>
        <v>0</v>
      </c>
      <c r="D68" s="118">
        <f t="shared" si="4"/>
        <v>0</v>
      </c>
      <c r="E68" s="118">
        <f t="shared" si="4"/>
        <v>0</v>
      </c>
      <c r="F68" s="118">
        <f t="shared" si="4"/>
        <v>5050.6567649999633</v>
      </c>
      <c r="G68" s="118">
        <f t="shared" si="4"/>
        <v>0</v>
      </c>
    </row>
    <row r="69" spans="1:7" x14ac:dyDescent="0.3">
      <c r="A69" s="87" t="s">
        <v>118</v>
      </c>
      <c r="B69" s="117">
        <f>_xll.GilCalc.CoGilCalc.gCalc("S_E_BS_TOTALCURRENTASSETS",$A$2,TEXT(B$3,"yyyy-mm-dd"),B$47)/unit</f>
        <v>245642.51751100001</v>
      </c>
      <c r="C69" s="117">
        <f>_xll.GilCalc.CoGilCalc.gCalc("S_E_BS_TOTALCURRENTASSETS",$A$2,TEXT(C$3,"yyyy-mm-dd"),C$47)/unit</f>
        <v>249601.988644</v>
      </c>
      <c r="D69" s="117">
        <f>_xll.GilCalc.CoGilCalc.gCalc("S_E_BS_TOTALCURRENTASSETS",$A$2,TEXT(D$3,"yyyy-mm-dd"),D$47)/unit</f>
        <v>257982.06356999997</v>
      </c>
      <c r="E69" s="117">
        <f>_xll.GilCalc.CoGilCalc.gCalc("S_E_BS_TOTALCURRENTASSETS",$A$2,TEXT(E$3,"yyyy-mm-dd"),E$47)/unit</f>
        <v>262802.87644399994</v>
      </c>
      <c r="F69" s="117">
        <f>_xll.GilCalc.CoGilCalc.gCalc("S_E_BS_TOTALCURRENTASSETS",$A$2,TEXT(F$3,"yyyy-mm-dd"),F$47)/unit</f>
        <v>282608.27155100001</v>
      </c>
      <c r="G69" s="117">
        <f>_xll.GilCalc.CoGilCalc.gCalc("S_E_BS_TOTALCURRENTASSETS",$A$2,TEXT(G$3,"yyyy-mm-dd"),G$47)/unit</f>
        <v>271964.22803399997</v>
      </c>
    </row>
    <row r="70" spans="1:7" x14ac:dyDescent="0.3">
      <c r="A70" s="81" t="s">
        <v>119</v>
      </c>
      <c r="B70" s="118"/>
      <c r="C70" s="118"/>
      <c r="D70" s="118"/>
      <c r="E70" s="118"/>
      <c r="F70" s="118"/>
      <c r="G70" s="118"/>
    </row>
    <row r="71" spans="1:7" x14ac:dyDescent="0.3">
      <c r="A71" s="87" t="s">
        <v>120</v>
      </c>
      <c r="B71" s="117">
        <f>_xll.GilCalc.CoGilCalc.gCalc("S_B_BS_LOANANDADVANCE",$A$2,TEXT(B$3,"yyyy-mm-dd"),B$47)/unit</f>
        <v>0</v>
      </c>
      <c r="C71" s="117">
        <f>_xll.GilCalc.CoGilCalc.gCalc("S_B_BS_LOANANDADVANCE",$A$2,TEXT(C$3,"yyyy-mm-dd"),C$47)/unit</f>
        <v>0</v>
      </c>
      <c r="D71" s="117">
        <f>_xll.GilCalc.CoGilCalc.gCalc("S_B_BS_LOANANDADVANCE",$A$2,TEXT(D$3,"yyyy-mm-dd"),D$47)/unit</f>
        <v>0</v>
      </c>
      <c r="E71" s="117">
        <f>_xll.GilCalc.CoGilCalc.gCalc("S_B_BS_LOANANDADVANCE",$A$2,TEXT(E$3,"yyyy-mm-dd"),E$47)/unit</f>
        <v>0</v>
      </c>
      <c r="F71" s="117">
        <f>_xll.GilCalc.CoGilCalc.gCalc("S_B_BS_LOANANDADVANCE",$A$2,TEXT(F$3,"yyyy-mm-dd"),F$47)/unit</f>
        <v>0</v>
      </c>
      <c r="G71" s="117">
        <f>_xll.GilCalc.CoGilCalc.gCalc("S_B_BS_LOANANDADVANCE",$A$2,TEXT(G$3,"yyyy-mm-dd"),G$47)/unit</f>
        <v>0</v>
      </c>
    </row>
    <row r="72" spans="1:7" x14ac:dyDescent="0.3">
      <c r="A72" s="87" t="s">
        <v>121</v>
      </c>
      <c r="B72" s="118">
        <f>_xll.GilCalc.CoGilCalc.gCalc("S_E_BS_HOLDFORSALEASSETS",$A$2,TEXT(B$3,"yyyy-mm-dd"),B$47)/unit</f>
        <v>25199.331588000001</v>
      </c>
      <c r="C72" s="118">
        <f>_xll.GilCalc.CoGilCalc.gCalc("S_E_BS_HOLDFORSALEASSETS",$A$2,TEXT(C$3,"yyyy-mm-dd"),C$47)/unit</f>
        <v>25984.314961</v>
      </c>
      <c r="D72" s="118">
        <f>_xll.GilCalc.CoGilCalc.gCalc("S_E_BS_HOLDFORSALEASSETS",$A$2,TEXT(D$3,"yyyy-mm-dd"),D$47)/unit</f>
        <v>24805.549641999998</v>
      </c>
      <c r="E72" s="118">
        <f>_xll.GilCalc.CoGilCalc.gCalc("S_E_BS_HOLDFORSALEASSETS",$A$2,TEXT(E$3,"yyyy-mm-dd"),E$47)/unit</f>
        <v>25452.567109</v>
      </c>
      <c r="F72" s="118">
        <f>_xll.GilCalc.CoGilCalc.gCalc("S_E_BS_HOLDFORSALEASSETS",$A$2,TEXT(F$3,"yyyy-mm-dd"),F$47)/unit</f>
        <v>19434.029613999999</v>
      </c>
      <c r="G72" s="118">
        <f>_xll.GilCalc.CoGilCalc.gCalc("S_E_BS_HOLDFORSALEASSETS",$A$2,TEXT(G$3,"yyyy-mm-dd"),G$47)/unit</f>
        <v>17886.199086000001</v>
      </c>
    </row>
    <row r="73" spans="1:7" x14ac:dyDescent="0.3">
      <c r="A73" s="87" t="s">
        <v>122</v>
      </c>
      <c r="B73" s="117">
        <f>_xll.GilCalc.CoGilCalc.gCalc("S_E_BS_HTMINVEST",$A$2,TEXT(B$3,"yyyy-mm-dd"),B$47)/unit</f>
        <v>0</v>
      </c>
      <c r="C73" s="117">
        <f>_xll.GilCalc.CoGilCalc.gCalc("S_E_BS_HTMINVEST",$A$2,TEXT(C$3,"yyyy-mm-dd"),C$47)/unit</f>
        <v>0</v>
      </c>
      <c r="D73" s="117">
        <f>_xll.GilCalc.CoGilCalc.gCalc("S_E_BS_HTMINVEST",$A$2,TEXT(D$3,"yyyy-mm-dd"),D$47)/unit</f>
        <v>0</v>
      </c>
      <c r="E73" s="117">
        <f>_xll.GilCalc.CoGilCalc.gCalc("S_E_BS_HTMINVEST",$A$2,TEXT(E$3,"yyyy-mm-dd"),E$47)/unit</f>
        <v>0</v>
      </c>
      <c r="F73" s="117">
        <f>_xll.GilCalc.CoGilCalc.gCalc("S_E_BS_HTMINVEST",$A$2,TEXT(F$3,"yyyy-mm-dd"),F$47)/unit</f>
        <v>0</v>
      </c>
      <c r="G73" s="117">
        <f>_xll.GilCalc.CoGilCalc.gCalc("S_E_BS_HTMINVEST",$A$2,TEXT(G$3,"yyyy-mm-dd"),G$47)/unit</f>
        <v>0</v>
      </c>
    </row>
    <row r="74" spans="1:7" x14ac:dyDescent="0.3">
      <c r="A74" s="87" t="s">
        <v>123</v>
      </c>
      <c r="B74" s="118">
        <f>_xll.GilCalc.CoGilCalc.gCalc("S_E_BS_LONGTERMAR",$A$2,TEXT(B$3,"yyyy-mm-dd"),B$47)/unit</f>
        <v>0</v>
      </c>
      <c r="C74" s="118">
        <f>_xll.GilCalc.CoGilCalc.gCalc("S_E_BS_LONGTERMAR",$A$2,TEXT(C$3,"yyyy-mm-dd"),C$47)/unit</f>
        <v>0</v>
      </c>
      <c r="D74" s="118">
        <f>_xll.GilCalc.CoGilCalc.gCalc("S_E_BS_LONGTERMAR",$A$2,TEXT(D$3,"yyyy-mm-dd"),D$47)/unit</f>
        <v>0</v>
      </c>
      <c r="E74" s="118">
        <f>_xll.GilCalc.CoGilCalc.gCalc("S_E_BS_LONGTERMAR",$A$2,TEXT(E$3,"yyyy-mm-dd"),E$47)/unit</f>
        <v>0</v>
      </c>
      <c r="F74" s="118">
        <f>_xll.GilCalc.CoGilCalc.gCalc("S_E_BS_LONGTERMAR",$A$2,TEXT(F$3,"yyyy-mm-dd"),F$47)/unit</f>
        <v>0</v>
      </c>
      <c r="G74" s="118">
        <f>_xll.GilCalc.CoGilCalc.gCalc("S_E_BS_LONGTERMAR",$A$2,TEXT(G$3,"yyyy-mm-dd"),G$47)/unit</f>
        <v>0</v>
      </c>
    </row>
    <row r="75" spans="1:7" x14ac:dyDescent="0.3">
      <c r="A75" s="87" t="s">
        <v>124</v>
      </c>
      <c r="B75" s="117">
        <f>_xll.GilCalc.CoGilCalc.gCalc("S_E_BS_LTEQUITYINVEST",$A$2,TEXT(B$3,"yyyy-mm-dd"),B$47)/unit</f>
        <v>6455.4583700000003</v>
      </c>
      <c r="C75" s="117">
        <f>_xll.GilCalc.CoGilCalc.gCalc("S_E_BS_LTEQUITYINVEST",$A$2,TEXT(C$3,"yyyy-mm-dd"),C$47)/unit</f>
        <v>6649.9947830000001</v>
      </c>
      <c r="D75" s="117">
        <f>_xll.GilCalc.CoGilCalc.gCalc("S_E_BS_LTEQUITYINVEST",$A$2,TEXT(D$3,"yyyy-mm-dd"),D$47)/unit</f>
        <v>19237.019412999998</v>
      </c>
      <c r="E75" s="117">
        <f>_xll.GilCalc.CoGilCalc.gCalc("S_E_BS_LTEQUITYINVEST",$A$2,TEXT(E$3,"yyyy-mm-dd"),E$47)/unit</f>
        <v>17959.527910000001</v>
      </c>
      <c r="F75" s="117">
        <f>_xll.GilCalc.CoGilCalc.gCalc("S_E_BS_LTEQUITYINVEST",$A$2,TEXT(F$3,"yyyy-mm-dd"),F$47)/unit</f>
        <v>22084.386586000001</v>
      </c>
      <c r="G75" s="117">
        <f>_xll.GilCalc.CoGilCalc.gCalc("S_E_BS_LTEQUITYINVEST",$A$2,TEXT(G$3,"yyyy-mm-dd"),G$47)/unit</f>
        <v>21539.703978999998</v>
      </c>
    </row>
    <row r="76" spans="1:7" x14ac:dyDescent="0.3">
      <c r="A76" s="87" t="s">
        <v>125</v>
      </c>
      <c r="B76" s="118">
        <f>_xll.GilCalc.CoGilCalc.gCalc("S_E_BS_INVESTPROPERTY",$A$2,TEXT(B$3,"yyyy-mm-dd"),B$47)/unit</f>
        <v>0</v>
      </c>
      <c r="C76" s="118">
        <f>_xll.GilCalc.CoGilCalc.gCalc("S_E_BS_INVESTPROPERTY",$A$2,TEXT(C$3,"yyyy-mm-dd"),C$47)/unit</f>
        <v>0</v>
      </c>
      <c r="D76" s="118">
        <f>_xll.GilCalc.CoGilCalc.gCalc("S_E_BS_INVESTPROPERTY",$A$2,TEXT(D$3,"yyyy-mm-dd"),D$47)/unit</f>
        <v>0</v>
      </c>
      <c r="E76" s="118">
        <f>_xll.GilCalc.CoGilCalc.gCalc("S_E_BS_INVESTPROPERTY",$A$2,TEXT(E$3,"yyyy-mm-dd"),E$47)/unit</f>
        <v>0</v>
      </c>
      <c r="F76" s="118">
        <f>_xll.GilCalc.CoGilCalc.gCalc("S_E_BS_INVESTPROPERTY",$A$2,TEXT(F$3,"yyyy-mm-dd"),F$47)/unit</f>
        <v>0</v>
      </c>
      <c r="G76" s="118">
        <f>_xll.GilCalc.CoGilCalc.gCalc("S_E_BS_INVESTPROPERTY",$A$2,TEXT(G$3,"yyyy-mm-dd"),G$47)/unit</f>
        <v>0</v>
      </c>
    </row>
    <row r="77" spans="1:7" x14ac:dyDescent="0.3">
      <c r="A77" s="87" t="s">
        <v>126</v>
      </c>
      <c r="B77" s="117">
        <f>_xll.GilCalc.CoGilCalc.gCalc("S_E_BS_FIXEDASSETS",$A$2,TEXT(B$3,"yyyy-mm-dd"),B$47)/unit</f>
        <v>8808.446304000001</v>
      </c>
      <c r="C77" s="117">
        <f>_xll.GilCalc.CoGilCalc.gCalc("S_E_BS_FIXEDASSETS",$A$2,TEXT(C$3,"yyyy-mm-dd"),C$47)/unit</f>
        <v>8714.6996249999993</v>
      </c>
      <c r="D77" s="117">
        <f>_xll.GilCalc.CoGilCalc.gCalc("S_E_BS_FIXEDASSETS",$A$2,TEXT(D$3,"yyyy-mm-dd"),D$47)/unit</f>
        <v>9266.7066900000009</v>
      </c>
      <c r="E77" s="117">
        <f>_xll.GilCalc.CoGilCalc.gCalc("S_E_BS_FIXEDASSETS",$A$2,TEXT(E$3,"yyyy-mm-dd"),E$47)/unit</f>
        <v>9741.1715349999995</v>
      </c>
      <c r="F77" s="117">
        <f>_xll.GilCalc.CoGilCalc.gCalc("S_E_BS_FIXEDASSETS",$A$2,TEXT(F$3,"yyyy-mm-dd"),F$47)/unit</f>
        <v>18449.481809000001</v>
      </c>
      <c r="G77" s="117">
        <f>_xll.GilCalc.CoGilCalc.gCalc("S_E_BS_FIXEDASSETS",$A$2,TEXT(G$3,"yyyy-mm-dd"),G$47)/unit</f>
        <v>17774.245716999998</v>
      </c>
    </row>
    <row r="78" spans="1:7" x14ac:dyDescent="0.3">
      <c r="A78" s="87" t="s">
        <v>127</v>
      </c>
      <c r="B78" s="118">
        <f>_xll.GilCalc.CoGilCalc.gCalc("S_E_BS_CONSTRUINPROCESS",$A$2,TEXT(B$3,"yyyy-mm-dd"),B$47)/unit</f>
        <v>35132.717075</v>
      </c>
      <c r="C78" s="118">
        <f>_xll.GilCalc.CoGilCalc.gCalc("S_E_BS_CONSTRUINPROCESS",$A$2,TEXT(C$3,"yyyy-mm-dd"),C$47)/unit</f>
        <v>35532.601514000002</v>
      </c>
      <c r="D78" s="118">
        <f>_xll.GilCalc.CoGilCalc.gCalc("S_E_BS_CONSTRUINPROCESS",$A$2,TEXT(D$3,"yyyy-mm-dd"),D$47)/unit</f>
        <v>38200.982583999998</v>
      </c>
      <c r="E78" s="118">
        <f>_xll.GilCalc.CoGilCalc.gCalc("S_E_BS_CONSTRUINPROCESS",$A$2,TEXT(E$3,"yyyy-mm-dd"),E$47)/unit</f>
        <v>36520.330276000001</v>
      </c>
      <c r="F78" s="118">
        <f>_xll.GilCalc.CoGilCalc.gCalc("S_E_BS_CONSTRUINPROCESS",$A$2,TEXT(F$3,"yyyy-mm-dd"),F$47)/unit</f>
        <v>28861.365554999997</v>
      </c>
      <c r="G78" s="118">
        <f>_xll.GilCalc.CoGilCalc.gCalc("S_E_BS_CONSTRUINPROCESS",$A$2,TEXT(G$3,"yyyy-mm-dd"),G$47)/unit</f>
        <v>30456.529607999997</v>
      </c>
    </row>
    <row r="79" spans="1:7" x14ac:dyDescent="0.3">
      <c r="A79" s="87" t="s">
        <v>128</v>
      </c>
      <c r="B79" s="117">
        <f>_xll.GilCalc.CoGilCalc.gCalc("S_E_BS_CONSTRUMATERIALS",$A$2,TEXT(B$3,"yyyy-mm-dd"),B$47)/unit</f>
        <v>0</v>
      </c>
      <c r="C79" s="117">
        <f>_xll.GilCalc.CoGilCalc.gCalc("S_E_BS_CONSTRUMATERIALS",$A$2,TEXT(C$3,"yyyy-mm-dd"),C$47)/unit</f>
        <v>0</v>
      </c>
      <c r="D79" s="117">
        <f>_xll.GilCalc.CoGilCalc.gCalc("S_E_BS_CONSTRUMATERIALS",$A$2,TEXT(D$3,"yyyy-mm-dd"),D$47)/unit</f>
        <v>0</v>
      </c>
      <c r="E79" s="117">
        <f>_xll.GilCalc.CoGilCalc.gCalc("S_E_BS_CONSTRUMATERIALS",$A$2,TEXT(E$3,"yyyy-mm-dd"),E$47)/unit</f>
        <v>0</v>
      </c>
      <c r="F79" s="117">
        <f>_xll.GilCalc.CoGilCalc.gCalc("S_E_BS_CONSTRUMATERIALS",$A$2,TEXT(F$3,"yyyy-mm-dd"),F$47)/unit</f>
        <v>0</v>
      </c>
      <c r="G79" s="117">
        <f>_xll.GilCalc.CoGilCalc.gCalc("S_E_BS_CONSTRUMATERIALS",$A$2,TEXT(G$3,"yyyy-mm-dd"),G$47)/unit</f>
        <v>0</v>
      </c>
    </row>
    <row r="80" spans="1:7" x14ac:dyDescent="0.3">
      <c r="A80" s="87" t="s">
        <v>129</v>
      </c>
      <c r="B80" s="118">
        <f>_xll.GilCalc.CoGilCalc.gCalc("S_E_BS_FALIQUIDATION",$A$2,TEXT(B$3,"yyyy-mm-dd"),B$47)/unit</f>
        <v>0</v>
      </c>
      <c r="C80" s="118">
        <f>_xll.GilCalc.CoGilCalc.gCalc("S_E_BS_FALIQUIDATION",$A$2,TEXT(C$3,"yyyy-mm-dd"),C$47)/unit</f>
        <v>0</v>
      </c>
      <c r="D80" s="118">
        <f>_xll.GilCalc.CoGilCalc.gCalc("S_E_BS_FALIQUIDATION",$A$2,TEXT(D$3,"yyyy-mm-dd"),D$47)/unit</f>
        <v>0</v>
      </c>
      <c r="E80" s="118">
        <f>_xll.GilCalc.CoGilCalc.gCalc("S_E_BS_FALIQUIDATION",$A$2,TEXT(E$3,"yyyy-mm-dd"),E$47)/unit</f>
        <v>0</v>
      </c>
      <c r="F80" s="118">
        <f>_xll.GilCalc.CoGilCalc.gCalc("S_E_BS_FALIQUIDATION",$A$2,TEXT(F$3,"yyyy-mm-dd"),F$47)/unit</f>
        <v>0</v>
      </c>
      <c r="G80" s="118">
        <f>_xll.GilCalc.CoGilCalc.gCalc("S_E_BS_FALIQUIDATION",$A$2,TEXT(G$3,"yyyy-mm-dd"),G$47)/unit</f>
        <v>0</v>
      </c>
    </row>
    <row r="81" spans="1:7" x14ac:dyDescent="0.3">
      <c r="A81" s="87" t="s">
        <v>130</v>
      </c>
      <c r="B81" s="117">
        <f>_xll.GilCalc.CoGilCalc.gCalc("S_E_BS_BIOASSETS",$A$2,TEXT(B$3,"yyyy-mm-dd"),B$47)/unit</f>
        <v>0</v>
      </c>
      <c r="C81" s="117">
        <f>_xll.GilCalc.CoGilCalc.gCalc("S_E_BS_BIOASSETS",$A$2,TEXT(C$3,"yyyy-mm-dd"),C$47)/unit</f>
        <v>0</v>
      </c>
      <c r="D81" s="117">
        <f>_xll.GilCalc.CoGilCalc.gCalc("S_E_BS_BIOASSETS",$A$2,TEXT(D$3,"yyyy-mm-dd"),D$47)/unit</f>
        <v>0</v>
      </c>
      <c r="E81" s="117">
        <f>_xll.GilCalc.CoGilCalc.gCalc("S_E_BS_BIOASSETS",$A$2,TEXT(E$3,"yyyy-mm-dd"),E$47)/unit</f>
        <v>0</v>
      </c>
      <c r="F81" s="117">
        <f>_xll.GilCalc.CoGilCalc.gCalc("S_E_BS_BIOASSETS",$A$2,TEXT(F$3,"yyyy-mm-dd"),F$47)/unit</f>
        <v>0</v>
      </c>
      <c r="G81" s="117">
        <f>_xll.GilCalc.CoGilCalc.gCalc("S_E_BS_BIOASSETS",$A$2,TEXT(G$3,"yyyy-mm-dd"),G$47)/unit</f>
        <v>0</v>
      </c>
    </row>
    <row r="82" spans="1:7" x14ac:dyDescent="0.3">
      <c r="A82" s="87" t="s">
        <v>131</v>
      </c>
      <c r="B82" s="118">
        <f>_xll.GilCalc.CoGilCalc.gCalc("S_E_BS_OILGASALASSETS",$A$2,TEXT(B$3,"yyyy-mm-dd"),B$47)/unit</f>
        <v>0</v>
      </c>
      <c r="C82" s="118">
        <f>_xll.GilCalc.CoGilCalc.gCalc("S_E_BS_OILGASALASSETS",$A$2,TEXT(C$3,"yyyy-mm-dd"),C$47)/unit</f>
        <v>0</v>
      </c>
      <c r="D82" s="118">
        <f>_xll.GilCalc.CoGilCalc.gCalc("S_E_BS_OILGASALASSETS",$A$2,TEXT(D$3,"yyyy-mm-dd"),D$47)/unit</f>
        <v>0</v>
      </c>
      <c r="E82" s="118">
        <f>_xll.GilCalc.CoGilCalc.gCalc("S_E_BS_OILGASALASSETS",$A$2,TEXT(E$3,"yyyy-mm-dd"),E$47)/unit</f>
        <v>0</v>
      </c>
      <c r="F82" s="118">
        <f>_xll.GilCalc.CoGilCalc.gCalc("S_E_BS_OILGASALASSETS",$A$2,TEXT(F$3,"yyyy-mm-dd"),F$47)/unit</f>
        <v>0</v>
      </c>
      <c r="G82" s="118">
        <f>_xll.GilCalc.CoGilCalc.gCalc("S_E_BS_OILGASALASSETS",$A$2,TEXT(G$3,"yyyy-mm-dd"),G$47)/unit</f>
        <v>0</v>
      </c>
    </row>
    <row r="83" spans="1:7" x14ac:dyDescent="0.3">
      <c r="A83" s="87" t="s">
        <v>132</v>
      </c>
      <c r="B83" s="117">
        <f>_xll.GilCalc.CoGilCalc.gCalc("S_E_BS_INTANGIBALASSETS",$A$2,TEXT(B$3,"yyyy-mm-dd"),B$47)/unit</f>
        <v>348.58837499999998</v>
      </c>
      <c r="C83" s="117">
        <f>_xll.GilCalc.CoGilCalc.gCalc("S_E_BS_INTANGIBALASSETS",$A$2,TEXT(C$3,"yyyy-mm-dd"),C$47)/unit</f>
        <v>333.29021699999998</v>
      </c>
      <c r="D83" s="117">
        <f>_xll.GilCalc.CoGilCalc.gCalc("S_E_BS_INTANGIBALASSETS",$A$2,TEXT(D$3,"yyyy-mm-dd"),D$47)/unit</f>
        <v>474.05331500000005</v>
      </c>
      <c r="E83" s="117">
        <f>_xll.GilCalc.CoGilCalc.gCalc("S_E_BS_INTANGIBALASSETS",$A$2,TEXT(E$3,"yyyy-mm-dd"),E$47)/unit</f>
        <v>483.29353700000001</v>
      </c>
      <c r="F83" s="117">
        <f>_xll.GilCalc.CoGilCalc.gCalc("S_E_BS_INTANGIBALASSETS",$A$2,TEXT(F$3,"yyyy-mm-dd"),F$47)/unit</f>
        <v>746.07936600000005</v>
      </c>
      <c r="G83" s="117">
        <f>_xll.GilCalc.CoGilCalc.gCalc("S_E_BS_INTANGIBALASSETS",$A$2,TEXT(G$3,"yyyy-mm-dd"),G$47)/unit</f>
        <v>947.43749200000002</v>
      </c>
    </row>
    <row r="84" spans="1:7" x14ac:dyDescent="0.3">
      <c r="A84" s="87" t="s">
        <v>133</v>
      </c>
      <c r="B84" s="118">
        <f>_xll.GilCalc.CoGilCalc.gCalc("S_E_BS_DEVELOPEXPEND",$A$2,TEXT(B$3,"yyyy-mm-dd"),B$47)/unit</f>
        <v>0</v>
      </c>
      <c r="C84" s="118">
        <f>_xll.GilCalc.CoGilCalc.gCalc("S_E_BS_DEVELOPEXPEND",$A$2,TEXT(C$3,"yyyy-mm-dd"),C$47)/unit</f>
        <v>0</v>
      </c>
      <c r="D84" s="118">
        <f>_xll.GilCalc.CoGilCalc.gCalc("S_E_BS_DEVELOPEXPEND",$A$2,TEXT(D$3,"yyyy-mm-dd"),D$47)/unit</f>
        <v>0</v>
      </c>
      <c r="E84" s="118">
        <f>_xll.GilCalc.CoGilCalc.gCalc("S_E_BS_DEVELOPEXPEND",$A$2,TEXT(E$3,"yyyy-mm-dd"),E$47)/unit</f>
        <v>0</v>
      </c>
      <c r="F84" s="118">
        <f>_xll.GilCalc.CoGilCalc.gCalc("S_E_BS_DEVELOPEXPEND",$A$2,TEXT(F$3,"yyyy-mm-dd"),F$47)/unit</f>
        <v>0</v>
      </c>
      <c r="G84" s="118">
        <f>_xll.GilCalc.CoGilCalc.gCalc("S_E_BS_DEVELOPEXPEND",$A$2,TEXT(G$3,"yyyy-mm-dd"),G$47)/unit</f>
        <v>92.399547999999996</v>
      </c>
    </row>
    <row r="85" spans="1:7" x14ac:dyDescent="0.3">
      <c r="A85" s="87" t="s">
        <v>134</v>
      </c>
      <c r="B85" s="117">
        <f>_xll.GilCalc.CoGilCalc.gCalc("S_E_BS_GOODWILL",$A$2,TEXT(B$3,"yyyy-mm-dd"),B$47)/unit</f>
        <v>0</v>
      </c>
      <c r="C85" s="117">
        <f>_xll.GilCalc.CoGilCalc.gCalc("S_E_BS_GOODWILL",$A$2,TEXT(C$3,"yyyy-mm-dd"),C$47)/unit</f>
        <v>60.959975999999997</v>
      </c>
      <c r="D85" s="117">
        <f>_xll.GilCalc.CoGilCalc.gCalc("S_E_BS_GOODWILL",$A$2,TEXT(D$3,"yyyy-mm-dd"),D$47)/unit</f>
        <v>0</v>
      </c>
      <c r="E85" s="117">
        <f>_xll.GilCalc.CoGilCalc.gCalc("S_E_BS_GOODWILL",$A$2,TEXT(E$3,"yyyy-mm-dd"),E$47)/unit</f>
        <v>0</v>
      </c>
      <c r="F85" s="117">
        <f>_xll.GilCalc.CoGilCalc.gCalc("S_E_BS_GOODWILL",$A$2,TEXT(F$3,"yyyy-mm-dd"),F$47)/unit</f>
        <v>0</v>
      </c>
      <c r="G85" s="117">
        <f>_xll.GilCalc.CoGilCalc.gCalc("S_E_BS_GOODWILL",$A$2,TEXT(G$3,"yyyy-mm-dd"),G$47)/unit</f>
        <v>0</v>
      </c>
    </row>
    <row r="86" spans="1:7" x14ac:dyDescent="0.3">
      <c r="A86" s="87" t="s">
        <v>135</v>
      </c>
      <c r="B86" s="118">
        <f>_xll.GilCalc.CoGilCalc.gCalc("S_E_BS_LTDEFEREXPENSE",$A$2,TEXT(B$3,"yyyy-mm-dd"),B$47)/unit</f>
        <v>5519.5376930000002</v>
      </c>
      <c r="C86" s="118">
        <f>_xll.GilCalc.CoGilCalc.gCalc("S_E_BS_LTDEFEREXPENSE",$A$2,TEXT(C$3,"yyyy-mm-dd"),C$47)/unit</f>
        <v>4857.2143470000001</v>
      </c>
      <c r="D86" s="118">
        <f>_xll.GilCalc.CoGilCalc.gCalc("S_E_BS_LTDEFEREXPENSE",$A$2,TEXT(D$3,"yyyy-mm-dd"),D$47)/unit</f>
        <v>4276.5392610000008</v>
      </c>
      <c r="E86" s="118">
        <f>_xll.GilCalc.CoGilCalc.gCalc("S_E_BS_LTDEFEREXPENSE",$A$2,TEXT(E$3,"yyyy-mm-dd"),E$47)/unit</f>
        <v>3716.8118689999997</v>
      </c>
      <c r="F86" s="118">
        <f>_xll.GilCalc.CoGilCalc.gCalc("S_E_BS_LTDEFEREXPENSE",$A$2,TEXT(F$3,"yyyy-mm-dd"),F$47)/unit</f>
        <v>3088.7264300000002</v>
      </c>
      <c r="G86" s="118">
        <f>_xll.GilCalc.CoGilCalc.gCalc("S_E_BS_LTDEFEREXPENSE",$A$2,TEXT(G$3,"yyyy-mm-dd"),G$47)/unit</f>
        <v>2541.3859299999999</v>
      </c>
    </row>
    <row r="87" spans="1:7" x14ac:dyDescent="0.3">
      <c r="A87" s="87" t="s">
        <v>136</v>
      </c>
      <c r="B87" s="117">
        <f>_xll.GilCalc.CoGilCalc.gCalc("S_E_BS_DEFERREDTAXASSETS",$A$2,TEXT(B$3,"yyyy-mm-dd"),B$47)/unit</f>
        <v>0</v>
      </c>
      <c r="C87" s="117">
        <f>_xll.GilCalc.CoGilCalc.gCalc("S_E_BS_DEFERREDTAXASSETS",$A$2,TEXT(C$3,"yyyy-mm-dd"),C$47)/unit</f>
        <v>0</v>
      </c>
      <c r="D87" s="117">
        <f>_xll.GilCalc.CoGilCalc.gCalc("S_E_BS_DEFERREDTAXASSETS",$A$2,TEXT(D$3,"yyyy-mm-dd"),D$47)/unit</f>
        <v>0</v>
      </c>
      <c r="E87" s="117">
        <f>_xll.GilCalc.CoGilCalc.gCalc("S_E_BS_DEFERREDTAXASSETS",$A$2,TEXT(E$3,"yyyy-mm-dd"),E$47)/unit</f>
        <v>0</v>
      </c>
      <c r="F87" s="117">
        <f>_xll.GilCalc.CoGilCalc.gCalc("S_E_BS_DEFERREDTAXASSETS",$A$2,TEXT(F$3,"yyyy-mm-dd"),F$47)/unit</f>
        <v>0</v>
      </c>
      <c r="G87" s="117">
        <f>_xll.GilCalc.CoGilCalc.gCalc("S_E_BS_DEFERREDTAXASSETS",$A$2,TEXT(G$3,"yyyy-mm-dd"),G$47)/unit</f>
        <v>0</v>
      </c>
    </row>
    <row r="88" spans="1:7" x14ac:dyDescent="0.3">
      <c r="A88" s="87" t="s">
        <v>137</v>
      </c>
      <c r="B88" s="118">
        <f>_xll.GilCalc.CoGilCalc.gCalc("S_E_BS_OTHERNONCURASSETS",$A$2,TEXT(B$3,"yyyy-mm-dd"),B$47)/unit</f>
        <v>1180.521937</v>
      </c>
      <c r="C88" s="118">
        <f>_xll.GilCalc.CoGilCalc.gCalc("S_E_BS_OTHERNONCURASSETS",$A$2,TEXT(C$3,"yyyy-mm-dd"),C$47)/unit</f>
        <v>1180.521937</v>
      </c>
      <c r="D88" s="118">
        <f>_xll.GilCalc.CoGilCalc.gCalc("S_E_BS_OTHERNONCURASSETS",$A$2,TEXT(D$3,"yyyy-mm-dd"),D$47)/unit</f>
        <v>734.64617499999997</v>
      </c>
      <c r="E88" s="118">
        <f>_xll.GilCalc.CoGilCalc.gCalc("S_E_BS_OTHERNONCURASSETS",$A$2,TEXT(E$3,"yyyy-mm-dd"),E$47)/unit</f>
        <v>604.34868700000004</v>
      </c>
      <c r="F88" s="118">
        <f>_xll.GilCalc.CoGilCalc.gCalc("S_E_BS_OTHERNONCURASSETS",$A$2,TEXT(F$3,"yyyy-mm-dd"),F$47)/unit</f>
        <v>732.32266800000002</v>
      </c>
      <c r="G88" s="118">
        <f>_xll.GilCalc.CoGilCalc.gCalc("S_E_BS_OTHERNONCURASSETS",$A$2,TEXT(G$3,"yyyy-mm-dd"),G$47)/unit</f>
        <v>521.65254100000004</v>
      </c>
    </row>
    <row r="89" spans="1:7" x14ac:dyDescent="0.3">
      <c r="A89" s="87" t="s">
        <v>138</v>
      </c>
      <c r="B89" s="117">
        <f>B90-SUM(B71:B88)</f>
        <v>0</v>
      </c>
      <c r="C89" s="117">
        <f t="shared" ref="C89:G89" si="5">C90-SUM(C71:C88)</f>
        <v>0</v>
      </c>
      <c r="D89" s="117">
        <f t="shared" si="5"/>
        <v>0</v>
      </c>
      <c r="E89" s="117">
        <f t="shared" si="5"/>
        <v>0</v>
      </c>
      <c r="F89" s="117">
        <f t="shared" si="5"/>
        <v>0</v>
      </c>
      <c r="G89" s="117">
        <f t="shared" si="5"/>
        <v>0</v>
      </c>
    </row>
    <row r="90" spans="1:7" x14ac:dyDescent="0.3">
      <c r="A90" s="87" t="s">
        <v>139</v>
      </c>
      <c r="B90" s="118">
        <f>_xll.GilCalc.CoGilCalc.gCalc("S_E_BS_TOTALNONCURASSETS",$A$2,TEXT(B$3,"yyyy-mm-dd"),B$47)/unit</f>
        <v>82644.601341999994</v>
      </c>
      <c r="C90" s="118">
        <f>_xll.GilCalc.CoGilCalc.gCalc("S_E_BS_TOTALNONCURASSETS",$A$2,TEXT(C$3,"yyyy-mm-dd"),C$47)/unit</f>
        <v>83313.59736</v>
      </c>
      <c r="D90" s="118">
        <f>_xll.GilCalc.CoGilCalc.gCalc("S_E_BS_TOTALNONCURASSETS",$A$2,TEXT(D$3,"yyyy-mm-dd"),D$47)/unit</f>
        <v>96995.497080000001</v>
      </c>
      <c r="E90" s="118">
        <f>_xll.GilCalc.CoGilCalc.gCalc("S_E_BS_TOTALNONCURASSETS",$A$2,TEXT(E$3,"yyyy-mm-dd"),E$47)/unit</f>
        <v>94478.050923000003</v>
      </c>
      <c r="F90" s="118">
        <f>_xll.GilCalc.CoGilCalc.gCalc("S_E_BS_TOTALNONCURASSETS",$A$2,TEXT(F$3,"yyyy-mm-dd"),F$47)/unit</f>
        <v>93396.392028000002</v>
      </c>
      <c r="G90" s="118">
        <f>_xll.GilCalc.CoGilCalc.gCalc("S_E_BS_TOTALNONCURASSETS",$A$2,TEXT(G$3,"yyyy-mm-dd"),G$47)/unit</f>
        <v>91759.553900999992</v>
      </c>
    </row>
    <row r="91" spans="1:7" x14ac:dyDescent="0.3">
      <c r="A91" s="87" t="s">
        <v>140</v>
      </c>
      <c r="B91" s="117">
        <f>B92-B90-B69</f>
        <v>0</v>
      </c>
      <c r="C91" s="117">
        <f t="shared" ref="C91:G91" si="6">C92-C90-C69</f>
        <v>0</v>
      </c>
      <c r="D91" s="117">
        <f t="shared" si="6"/>
        <v>0</v>
      </c>
      <c r="E91" s="117">
        <f t="shared" si="6"/>
        <v>0</v>
      </c>
      <c r="F91" s="117">
        <f t="shared" si="6"/>
        <v>0</v>
      </c>
      <c r="G91" s="117">
        <f t="shared" si="6"/>
        <v>0</v>
      </c>
    </row>
    <row r="92" spans="1:7" x14ac:dyDescent="0.3">
      <c r="A92" s="87" t="s">
        <v>141</v>
      </c>
      <c r="B92" s="118">
        <f>_xll.GilCalc.CoGilCalc.gCalc("S_E_BS_TOTALASSETS",$A$2,TEXT(B$3,"yyyy-mm-dd"),B$47)/unit</f>
        <v>328287.11885299999</v>
      </c>
      <c r="C92" s="118">
        <f>_xll.GilCalc.CoGilCalc.gCalc("S_E_BS_TOTALASSETS",$A$2,TEXT(C$3,"yyyy-mm-dd"),C$47)/unit</f>
        <v>332915.58600399998</v>
      </c>
      <c r="D92" s="118">
        <f>_xll.GilCalc.CoGilCalc.gCalc("S_E_BS_TOTALASSETS",$A$2,TEXT(D$3,"yyyy-mm-dd"),D$47)/unit</f>
        <v>354977.56065</v>
      </c>
      <c r="E92" s="118">
        <f>_xll.GilCalc.CoGilCalc.gCalc("S_E_BS_TOTALASSETS",$A$2,TEXT(E$3,"yyyy-mm-dd"),E$47)/unit</f>
        <v>357280.92736700003</v>
      </c>
      <c r="F92" s="118">
        <f>_xll.GilCalc.CoGilCalc.gCalc("S_E_BS_TOTALASSETS",$A$2,TEXT(F$3,"yyyy-mm-dd"),F$47)/unit</f>
        <v>376004.66357899999</v>
      </c>
      <c r="G92" s="118">
        <f>_xll.GilCalc.CoGilCalc.gCalc("S_E_BS_TOTALASSETS",$A$2,TEXT(G$3,"yyyy-mm-dd"),G$47)/unit</f>
        <v>363723.78193499998</v>
      </c>
    </row>
    <row r="93" spans="1:7" x14ac:dyDescent="0.3">
      <c r="A93" s="81" t="s">
        <v>142</v>
      </c>
      <c r="B93" s="117"/>
      <c r="C93" s="117"/>
      <c r="D93" s="117"/>
      <c r="E93" s="117"/>
      <c r="F93" s="117"/>
      <c r="G93" s="117"/>
    </row>
    <row r="94" spans="1:7" x14ac:dyDescent="0.3">
      <c r="A94" s="87" t="s">
        <v>143</v>
      </c>
      <c r="B94" s="118">
        <f>_xll.GilCalc.CoGilCalc.gCalc("S_E_BS_SHORTTERMLOAN",$A$2,TEXT(B$3,"yyyy-mm-dd"),B$47)/unit</f>
        <v>0</v>
      </c>
      <c r="C94" s="118">
        <f>_xll.GilCalc.CoGilCalc.gCalc("S_E_BS_SHORTTERMLOAN",$A$2,TEXT(C$3,"yyyy-mm-dd"),C$47)/unit</f>
        <v>0</v>
      </c>
      <c r="D94" s="118">
        <f>_xll.GilCalc.CoGilCalc.gCalc("S_E_BS_SHORTTERMLOAN",$A$2,TEXT(D$3,"yyyy-mm-dd"),D$47)/unit</f>
        <v>0</v>
      </c>
      <c r="E94" s="118">
        <f>_xll.GilCalc.CoGilCalc.gCalc("S_E_BS_SHORTTERMLOAN",$A$2,TEXT(E$3,"yyyy-mm-dd"),E$47)/unit</f>
        <v>0</v>
      </c>
      <c r="F94" s="118">
        <f>_xll.GilCalc.CoGilCalc.gCalc("S_E_BS_SHORTTERMLOAN",$A$2,TEXT(F$3,"yyyy-mm-dd"),F$47)/unit</f>
        <v>0</v>
      </c>
      <c r="G94" s="118">
        <f>_xll.GilCalc.CoGilCalc.gCalc("S_E_BS_SHORTTERMLOAN",$A$2,TEXT(G$3,"yyyy-mm-dd"),G$47)/unit</f>
        <v>0</v>
      </c>
    </row>
    <row r="95" spans="1:7" x14ac:dyDescent="0.3">
      <c r="A95" s="87" t="s">
        <v>144</v>
      </c>
      <c r="B95" s="117">
        <f>_xll.GilCalc.CoGilCalc.gCalc("S_B_BS_BRWCENTRALBANK",$A$2,TEXT(B$3,"yyyy-mm-dd"),B$47)/unit</f>
        <v>0</v>
      </c>
      <c r="C95" s="117">
        <f>_xll.GilCalc.CoGilCalc.gCalc("S_B_BS_BRWCENTRALBANK",$A$2,TEXT(C$3,"yyyy-mm-dd"),C$47)/unit</f>
        <v>0</v>
      </c>
      <c r="D95" s="117">
        <f>_xll.GilCalc.CoGilCalc.gCalc("S_B_BS_BRWCENTRALBANK",$A$2,TEXT(D$3,"yyyy-mm-dd"),D$47)/unit</f>
        <v>0</v>
      </c>
      <c r="E95" s="117">
        <f>_xll.GilCalc.CoGilCalc.gCalc("S_B_BS_BRWCENTRALBANK",$A$2,TEXT(E$3,"yyyy-mm-dd"),E$47)/unit</f>
        <v>0</v>
      </c>
      <c r="F95" s="117">
        <f>_xll.GilCalc.CoGilCalc.gCalc("S_B_BS_BRWCENTRALBANK",$A$2,TEXT(F$3,"yyyy-mm-dd"),F$47)/unit</f>
        <v>0</v>
      </c>
      <c r="G95" s="117">
        <f>_xll.GilCalc.CoGilCalc.gCalc("S_B_BS_BRWCENTRALBANK",$A$2,TEXT(G$3,"yyyy-mm-dd"),G$47)/unit</f>
        <v>0</v>
      </c>
    </row>
    <row r="96" spans="1:7" x14ac:dyDescent="0.3">
      <c r="A96" s="87" t="s">
        <v>145</v>
      </c>
      <c r="B96" s="118">
        <f>_xll.GilCalc.CoGilCalc.gCalc("S_B_BS_DEPOSIT",$A$2,TEXT(B$3,"yyyy-mm-dd"),B$47)/unit+_xll.GilCalc.CoGilCalc.gCalc("S_F_BS_DEBTINTERBANK",$A$2,TEXT(B$3,"yyyy-mm-dd"),B$47)/unit</f>
        <v>0</v>
      </c>
      <c r="C96" s="118">
        <f>_xll.GilCalc.CoGilCalc.gCalc("S_B_BS_DEPOSIT",$A$2,TEXT(C$3,"yyyy-mm-dd"),C$47)/unit+_xll.GilCalc.CoGilCalc.gCalc("S_F_BS_DEBTINTERBANK",$A$2,TEXT(C$3,"yyyy-mm-dd"),C$47)/unit</f>
        <v>0</v>
      </c>
      <c r="D96" s="118">
        <f>_xll.GilCalc.CoGilCalc.gCalc("S_B_BS_DEPOSIT",$A$2,TEXT(D$3,"yyyy-mm-dd"),D$47)/unit+_xll.GilCalc.CoGilCalc.gCalc("S_F_BS_DEBTINTERBANK",$A$2,TEXT(D$3,"yyyy-mm-dd"),D$47)/unit</f>
        <v>0</v>
      </c>
      <c r="E96" s="118">
        <f>_xll.GilCalc.CoGilCalc.gCalc("S_B_BS_DEPOSIT",$A$2,TEXT(E$3,"yyyy-mm-dd"),E$47)/unit+_xll.GilCalc.CoGilCalc.gCalc("S_F_BS_DEBTINTERBANK",$A$2,TEXT(E$3,"yyyy-mm-dd"),E$47)/unit</f>
        <v>0</v>
      </c>
      <c r="F96" s="118">
        <f>_xll.GilCalc.CoGilCalc.gCalc("S_B_BS_DEPOSIT",$A$2,TEXT(F$3,"yyyy-mm-dd"),F$47)/unit+_xll.GilCalc.CoGilCalc.gCalc("S_F_BS_DEBTINTERBANK",$A$2,TEXT(F$3,"yyyy-mm-dd"),F$47)/unit</f>
        <v>0</v>
      </c>
      <c r="G96" s="118">
        <f>_xll.GilCalc.CoGilCalc.gCalc("S_B_BS_DEPOSIT",$A$2,TEXT(G$3,"yyyy-mm-dd"),G$47)/unit+_xll.GilCalc.CoGilCalc.gCalc("S_F_BS_DEBTINTERBANK",$A$2,TEXT(G$3,"yyyy-mm-dd"),G$47)/unit</f>
        <v>0</v>
      </c>
    </row>
    <row r="97" spans="1:7" x14ac:dyDescent="0.3">
      <c r="A97" s="87" t="s">
        <v>146</v>
      </c>
      <c r="B97" s="117">
        <f>_xll.GilCalc.CoGilCalc.gCalc("S_S_BS_BORROWCAPITAL",$A$2,TEXT(B$3,"yyyy-mm-dd"),B$47)/unit</f>
        <v>0</v>
      </c>
      <c r="C97" s="117">
        <f>_xll.GilCalc.CoGilCalc.gCalc("S_S_BS_BORROWCAPITAL",$A$2,TEXT(C$3,"yyyy-mm-dd"),C$47)/unit</f>
        <v>0</v>
      </c>
      <c r="D97" s="117">
        <f>_xll.GilCalc.CoGilCalc.gCalc("S_S_BS_BORROWCAPITAL",$A$2,TEXT(D$3,"yyyy-mm-dd"),D$47)/unit</f>
        <v>0</v>
      </c>
      <c r="E97" s="117">
        <f>_xll.GilCalc.CoGilCalc.gCalc("S_S_BS_BORROWCAPITAL",$A$2,TEXT(E$3,"yyyy-mm-dd"),E$47)/unit</f>
        <v>0</v>
      </c>
      <c r="F97" s="117">
        <f>_xll.GilCalc.CoGilCalc.gCalc("S_S_BS_BORROWCAPITAL",$A$2,TEXT(F$3,"yyyy-mm-dd"),F$47)/unit</f>
        <v>0</v>
      </c>
      <c r="G97" s="117">
        <f>_xll.GilCalc.CoGilCalc.gCalc("S_S_BS_BORROWCAPITAL",$A$2,TEXT(G$3,"yyyy-mm-dd"),G$47)/unit</f>
        <v>0</v>
      </c>
    </row>
    <row r="98" spans="1:7" x14ac:dyDescent="0.3">
      <c r="A98" s="87" t="s">
        <v>147</v>
      </c>
      <c r="B98" s="118">
        <f>_xll.GilCalc.CoGilCalc.gCalc("S_E_BS_TRADINGLIABILITY",$A$2,TEXT(B$3,"yyyy-mm-dd"),B$47)/unit</f>
        <v>0</v>
      </c>
      <c r="C98" s="118">
        <f>_xll.GilCalc.CoGilCalc.gCalc("S_E_BS_TRADINGLIABILITY",$A$2,TEXT(C$3,"yyyy-mm-dd"),C$47)/unit</f>
        <v>0</v>
      </c>
      <c r="D98" s="118">
        <f>_xll.GilCalc.CoGilCalc.gCalc("S_E_BS_TRADINGLIABILITY",$A$2,TEXT(D$3,"yyyy-mm-dd"),D$47)/unit</f>
        <v>0</v>
      </c>
      <c r="E98" s="118">
        <f>_xll.GilCalc.CoGilCalc.gCalc("S_E_BS_TRADINGLIABILITY",$A$2,TEXT(E$3,"yyyy-mm-dd"),E$47)/unit</f>
        <v>0</v>
      </c>
      <c r="F98" s="118">
        <f>_xll.GilCalc.CoGilCalc.gCalc("S_E_BS_TRADINGLIABILITY",$A$2,TEXT(F$3,"yyyy-mm-dd"),F$47)/unit</f>
        <v>0</v>
      </c>
      <c r="G98" s="118">
        <f>_xll.GilCalc.CoGilCalc.gCalc("S_E_BS_TRADINGLIABILITY",$A$2,TEXT(G$3,"yyyy-mm-dd"),G$47)/unit</f>
        <v>0</v>
      </c>
    </row>
    <row r="99" spans="1:7" x14ac:dyDescent="0.3">
      <c r="A99" s="87" t="s">
        <v>148</v>
      </c>
      <c r="B99" s="117">
        <f>_xll.GilCalc.CoGilCalc.gCalc("S_E_BS_NOTESPAYABLE",$A$2,TEXT(B$3,"yyyy-mm-dd"),B$47)/unit</f>
        <v>0</v>
      </c>
      <c r="C99" s="117">
        <f>_xll.GilCalc.CoGilCalc.gCalc("S_E_BS_NOTESPAYABLE",$A$2,TEXT(C$3,"yyyy-mm-dd"),C$47)/unit</f>
        <v>0</v>
      </c>
      <c r="D99" s="117">
        <f>_xll.GilCalc.CoGilCalc.gCalc("S_E_BS_NOTESPAYABLE",$A$2,TEXT(D$3,"yyyy-mm-dd"),D$47)/unit</f>
        <v>0</v>
      </c>
      <c r="E99" s="117">
        <f>_xll.GilCalc.CoGilCalc.gCalc("S_E_BS_NOTESPAYABLE",$A$2,TEXT(E$3,"yyyy-mm-dd"),E$47)/unit</f>
        <v>0</v>
      </c>
      <c r="F99" s="117">
        <f>_xll.GilCalc.CoGilCalc.gCalc("S_E_BS_NOTESPAYABLE",$A$2,TEXT(F$3,"yyyy-mm-dd"),F$47)/unit</f>
        <v>0</v>
      </c>
      <c r="G99" s="117">
        <f>_xll.GilCalc.CoGilCalc.gCalc("S_E_BS_NOTESPAYABLE",$A$2,TEXT(G$3,"yyyy-mm-dd"),G$47)/unit</f>
        <v>0</v>
      </c>
    </row>
    <row r="100" spans="1:7" x14ac:dyDescent="0.3">
      <c r="A100" s="87" t="s">
        <v>149</v>
      </c>
      <c r="B100" s="118">
        <f>_xll.GilCalc.CoGilCalc.gCalc("S_E_BS_ACCOUNTPAYABLE",$A$2,TEXT(B$3,"yyyy-mm-dd"),B$47)/unit</f>
        <v>9656.213538</v>
      </c>
      <c r="C100" s="118">
        <f>_xll.GilCalc.CoGilCalc.gCalc("S_E_BS_ACCOUNTPAYABLE",$A$2,TEXT(C$3,"yyyy-mm-dd"),C$47)/unit</f>
        <v>7323.8001969999996</v>
      </c>
      <c r="D100" s="118">
        <f>_xll.GilCalc.CoGilCalc.gCalc("S_E_BS_ACCOUNTPAYABLE",$A$2,TEXT(D$3,"yyyy-mm-dd"),D$47)/unit</f>
        <v>12801.256878</v>
      </c>
      <c r="E100" s="118">
        <f>_xll.GilCalc.CoGilCalc.gCalc("S_E_BS_ACCOUNTPAYABLE",$A$2,TEXT(E$3,"yyyy-mm-dd"),E$47)/unit</f>
        <v>9110.8044120000013</v>
      </c>
      <c r="F100" s="118">
        <f>_xll.GilCalc.CoGilCalc.gCalc("S_E_BS_ACCOUNTPAYABLE",$A$2,TEXT(F$3,"yyyy-mm-dd"),F$47)/unit</f>
        <v>12336.29348</v>
      </c>
      <c r="G100" s="118">
        <f>_xll.GilCalc.CoGilCalc.gCalc("S_E_BS_ACCOUNTPAYABLE",$A$2,TEXT(G$3,"yyyy-mm-dd"),G$47)/unit</f>
        <v>7193.0050950000004</v>
      </c>
    </row>
    <row r="101" spans="1:7" x14ac:dyDescent="0.3">
      <c r="A101" s="87" t="s">
        <v>150</v>
      </c>
      <c r="B101" s="117">
        <f>_xll.GilCalc.CoGilCalc.gCalc("S_E_BS_ADVANCERECEIPT",$A$2,TEXT(B$3,"yyyy-mm-dd"),B$47)/unit</f>
        <v>19374.949109000001</v>
      </c>
      <c r="C101" s="117">
        <f>_xll.GilCalc.CoGilCalc.gCalc("S_E_BS_ADVANCERECEIPT",$A$2,TEXT(C$3,"yyyy-mm-dd"),C$47)/unit</f>
        <v>18032.865702000003</v>
      </c>
      <c r="D101" s="117">
        <f>_xll.GilCalc.CoGilCalc.gCalc("S_E_BS_ADVANCERECEIPT",$A$2,TEXT(D$3,"yyyy-mm-dd"),D$47)/unit</f>
        <v>19391.884587</v>
      </c>
      <c r="E101" s="117">
        <f>_xll.GilCalc.CoGilCalc.gCalc("S_E_BS_ADVANCERECEIPT",$A$2,TEXT(E$3,"yyyy-mm-dd"),E$47)/unit</f>
        <v>21107.607383000002</v>
      </c>
      <c r="F101" s="117">
        <f>_xll.GilCalc.CoGilCalc.gCalc("S_E_BS_ADVANCERECEIPT",$A$2,TEXT(F$3,"yyyy-mm-dd"),F$47)/unit</f>
        <v>23077.383298000001</v>
      </c>
      <c r="G101" s="117">
        <f>_xll.GilCalc.CoGilCalc.gCalc("S_E_BS_ADVANCERECEIPT",$A$2,TEXT(G$3,"yyyy-mm-dd"),G$47)/unit</f>
        <v>21610.106073999999</v>
      </c>
    </row>
    <row r="102" spans="1:7" x14ac:dyDescent="0.3">
      <c r="A102" s="87" t="s">
        <v>151</v>
      </c>
      <c r="B102" s="118">
        <f>_xll.GilCalc.CoGilCalc.gCalc("S_S_BS_SOLDBUYBACKSECUP",$A$2,TEXT(B$3,"yyyy-mm-dd"),B$47)/unit</f>
        <v>0</v>
      </c>
      <c r="C102" s="118">
        <f>_xll.GilCalc.CoGilCalc.gCalc("S_S_BS_SOLDBUYBACKSECUP",$A$2,TEXT(C$3,"yyyy-mm-dd"),C$47)/unit</f>
        <v>0</v>
      </c>
      <c r="D102" s="118">
        <f>_xll.GilCalc.CoGilCalc.gCalc("S_S_BS_SOLDBUYBACKSECUP",$A$2,TEXT(D$3,"yyyy-mm-dd"),D$47)/unit</f>
        <v>0</v>
      </c>
      <c r="E102" s="118">
        <f>_xll.GilCalc.CoGilCalc.gCalc("S_S_BS_SOLDBUYBACKSECUP",$A$2,TEXT(E$3,"yyyy-mm-dd"),E$47)/unit</f>
        <v>0</v>
      </c>
      <c r="F102" s="118">
        <f>_xll.GilCalc.CoGilCalc.gCalc("S_S_BS_SOLDBUYBACKSECUP",$A$2,TEXT(F$3,"yyyy-mm-dd"),F$47)/unit</f>
        <v>0</v>
      </c>
      <c r="G102" s="118">
        <f>_xll.GilCalc.CoGilCalc.gCalc("S_S_BS_SOLDBUYBACKSECUP",$A$2,TEXT(G$3,"yyyy-mm-dd"),G$47)/unit</f>
        <v>0</v>
      </c>
    </row>
    <row r="103" spans="1:7" x14ac:dyDescent="0.3">
      <c r="A103" s="87" t="s">
        <v>152</v>
      </c>
      <c r="B103" s="117">
        <f>_xll.GilCalc.CoGilCalc.gCalc("S_I_BS_COMMISPAYABLE",$A$2,TEXT(B$3,"yyyy-mm-dd"),B$47)/unit</f>
        <v>0</v>
      </c>
      <c r="C103" s="117">
        <f>_xll.GilCalc.CoGilCalc.gCalc("S_I_BS_COMMISPAYABLE",$A$2,TEXT(C$3,"yyyy-mm-dd"),C$47)/unit</f>
        <v>0</v>
      </c>
      <c r="D103" s="117">
        <f>_xll.GilCalc.CoGilCalc.gCalc("S_I_BS_COMMISPAYABLE",$A$2,TEXT(D$3,"yyyy-mm-dd"),D$47)/unit</f>
        <v>0</v>
      </c>
      <c r="E103" s="117">
        <f>_xll.GilCalc.CoGilCalc.gCalc("S_I_BS_COMMISPAYABLE",$A$2,TEXT(E$3,"yyyy-mm-dd"),E$47)/unit</f>
        <v>0</v>
      </c>
      <c r="F103" s="117">
        <f>_xll.GilCalc.CoGilCalc.gCalc("S_I_BS_COMMISPAYABLE",$A$2,TEXT(F$3,"yyyy-mm-dd"),F$47)/unit</f>
        <v>0</v>
      </c>
      <c r="G103" s="117">
        <f>_xll.GilCalc.CoGilCalc.gCalc("S_I_BS_COMMISPAYABLE",$A$2,TEXT(G$3,"yyyy-mm-dd"),G$47)/unit</f>
        <v>0</v>
      </c>
    </row>
    <row r="104" spans="1:7" x14ac:dyDescent="0.3">
      <c r="A104" s="87" t="s">
        <v>153</v>
      </c>
      <c r="B104" s="118">
        <f>_xll.GilCalc.CoGilCalc.gCalc("S_E_BS_SALARYPAYABLE",$A$2,TEXT(B$3,"yyyy-mm-dd"),B$47)/unit</f>
        <v>4386.7123950000005</v>
      </c>
      <c r="C104" s="118">
        <f>_xll.GilCalc.CoGilCalc.gCalc("S_E_BS_SALARYPAYABLE",$A$2,TEXT(C$3,"yyyy-mm-dd"),C$47)/unit</f>
        <v>3671.3206609999997</v>
      </c>
      <c r="D104" s="118">
        <f>_xll.GilCalc.CoGilCalc.gCalc("S_E_BS_SALARYPAYABLE",$A$2,TEXT(D$3,"yyyy-mm-dd"),D$47)/unit</f>
        <v>1764.1658260000002</v>
      </c>
      <c r="E104" s="118">
        <f>_xll.GilCalc.CoGilCalc.gCalc("S_E_BS_SALARYPAYABLE",$A$2,TEXT(E$3,"yyyy-mm-dd"),E$47)/unit</f>
        <v>1772.1807590000001</v>
      </c>
      <c r="F104" s="118">
        <f>_xll.GilCalc.CoGilCalc.gCalc("S_E_BS_SALARYPAYABLE",$A$2,TEXT(F$3,"yyyy-mm-dd"),F$47)/unit</f>
        <v>6504.49712</v>
      </c>
      <c r="G104" s="118">
        <f>_xll.GilCalc.CoGilCalc.gCalc("S_E_BS_SALARYPAYABLE",$A$2,TEXT(G$3,"yyyy-mm-dd"),G$47)/unit</f>
        <v>2192.644503</v>
      </c>
    </row>
    <row r="105" spans="1:7" x14ac:dyDescent="0.3">
      <c r="A105" s="87" t="s">
        <v>154</v>
      </c>
      <c r="B105" s="117">
        <f>_xll.GilCalc.CoGilCalc.gCalc("S_E_BS_TAXPAYABLE",$A$2,TEXT(B$3,"yyyy-mm-dd"),B$47)/unit</f>
        <v>2574.1283050000002</v>
      </c>
      <c r="C105" s="117">
        <f>_xll.GilCalc.CoGilCalc.gCalc("S_E_BS_TAXPAYABLE",$A$2,TEXT(C$3,"yyyy-mm-dd"),C$47)/unit</f>
        <v>1020.5386140000001</v>
      </c>
      <c r="D105" s="117">
        <f>_xll.GilCalc.CoGilCalc.gCalc("S_E_BS_TAXPAYABLE",$A$2,TEXT(D$3,"yyyy-mm-dd"),D$47)/unit</f>
        <v>2135.1363680000004</v>
      </c>
      <c r="E105" s="117">
        <f>_xll.GilCalc.CoGilCalc.gCalc("S_E_BS_TAXPAYABLE",$A$2,TEXT(E$3,"yyyy-mm-dd"),E$47)/unit</f>
        <v>1176.378432</v>
      </c>
      <c r="F105" s="117">
        <f>_xll.GilCalc.CoGilCalc.gCalc("S_E_BS_TAXPAYABLE",$A$2,TEXT(F$3,"yyyy-mm-dd"),F$47)/unit</f>
        <v>2900.7462999999998</v>
      </c>
      <c r="G105" s="117">
        <f>_xll.GilCalc.CoGilCalc.gCalc("S_E_BS_TAXPAYABLE",$A$2,TEXT(G$3,"yyyy-mm-dd"),G$47)/unit</f>
        <v>1342.8301199999999</v>
      </c>
    </row>
    <row r="106" spans="1:7" x14ac:dyDescent="0.3">
      <c r="A106" s="87" t="s">
        <v>155</v>
      </c>
      <c r="B106" s="118">
        <f>_xll.GilCalc.CoGilCalc.gCalc("S_E_BS_INTERESTPAYABLE",$A$2,TEXT(B$3,"yyyy-mm-dd"),B$47)/unit</f>
        <v>0</v>
      </c>
      <c r="C106" s="118">
        <f>_xll.GilCalc.CoGilCalc.gCalc("S_E_BS_INTERESTPAYABLE",$A$2,TEXT(C$3,"yyyy-mm-dd"),C$47)/unit</f>
        <v>0</v>
      </c>
      <c r="D106" s="118">
        <f>_xll.GilCalc.CoGilCalc.gCalc("S_E_BS_INTERESTPAYABLE",$A$2,TEXT(D$3,"yyyy-mm-dd"),D$47)/unit</f>
        <v>0</v>
      </c>
      <c r="E106" s="118">
        <f>_xll.GilCalc.CoGilCalc.gCalc("S_E_BS_INTERESTPAYABLE",$A$2,TEXT(E$3,"yyyy-mm-dd"),E$47)/unit</f>
        <v>0</v>
      </c>
      <c r="F106" s="118">
        <f>_xll.GilCalc.CoGilCalc.gCalc("S_E_BS_INTERESTPAYABLE",$A$2,TEXT(F$3,"yyyy-mm-dd"),F$47)/unit</f>
        <v>0</v>
      </c>
      <c r="G106" s="118">
        <f>_xll.GilCalc.CoGilCalc.gCalc("S_E_BS_INTERESTPAYABLE",$A$2,TEXT(G$3,"yyyy-mm-dd"),G$47)/unit</f>
        <v>0</v>
      </c>
    </row>
    <row r="107" spans="1:7" x14ac:dyDescent="0.3">
      <c r="A107" s="87" t="s">
        <v>156</v>
      </c>
      <c r="B107" s="117">
        <f>_xll.GilCalc.CoGilCalc.gCalc("S_E_BS_OTHERPAYABLE",$A$2,TEXT(B$3,"yyyy-mm-dd"),B$47)/unit</f>
        <v>1597.4221580000001</v>
      </c>
      <c r="C107" s="117">
        <f>_xll.GilCalc.CoGilCalc.gCalc("S_E_BS_OTHERPAYABLE",$A$2,TEXT(C$3,"yyyy-mm-dd"),C$47)/unit</f>
        <v>5329.4264119999998</v>
      </c>
      <c r="D107" s="117">
        <f>_xll.GilCalc.CoGilCalc.gCalc("S_E_BS_OTHERPAYABLE",$A$2,TEXT(D$3,"yyyy-mm-dd"),D$47)/unit</f>
        <v>5393.5472749999999</v>
      </c>
      <c r="E107" s="117">
        <f>_xll.GilCalc.CoGilCalc.gCalc("S_E_BS_OTHERPAYABLE",$A$2,TEXT(E$3,"yyyy-mm-dd"),E$47)/unit</f>
        <v>1622.9508470000001</v>
      </c>
      <c r="F107" s="117">
        <f>_xll.GilCalc.CoGilCalc.gCalc("S_E_BS_OTHERPAYABLE",$A$2,TEXT(F$3,"yyyy-mm-dd"),F$47)/unit</f>
        <v>1537.8562279999999</v>
      </c>
      <c r="G107" s="117">
        <f>_xll.GilCalc.CoGilCalc.gCalc("S_E_BS_OTHERPAYABLE",$A$2,TEXT(G$3,"yyyy-mm-dd"),G$47)/unit</f>
        <v>1520.9794029999998</v>
      </c>
    </row>
    <row r="108" spans="1:7" x14ac:dyDescent="0.3">
      <c r="A108" s="87" t="s">
        <v>157</v>
      </c>
      <c r="B108" s="118">
        <f>_xll.GilCalc.CoGilCalc.gCalc("S_I_BS_REINSURPAYABLE",$A$2,TEXT(B$3,"yyyy-mm-dd"),B$47)/unit</f>
        <v>0</v>
      </c>
      <c r="C108" s="118">
        <f>_xll.GilCalc.CoGilCalc.gCalc("S_I_BS_REINSURPAYABLE",$A$2,TEXT(C$3,"yyyy-mm-dd"),C$47)/unit</f>
        <v>0</v>
      </c>
      <c r="D108" s="118">
        <f>_xll.GilCalc.CoGilCalc.gCalc("S_I_BS_REINSURPAYABLE",$A$2,TEXT(D$3,"yyyy-mm-dd"),D$47)/unit</f>
        <v>0</v>
      </c>
      <c r="E108" s="118">
        <f>_xll.GilCalc.CoGilCalc.gCalc("S_I_BS_REINSURPAYABLE",$A$2,TEXT(E$3,"yyyy-mm-dd"),E$47)/unit</f>
        <v>0</v>
      </c>
      <c r="F108" s="118">
        <f>_xll.GilCalc.CoGilCalc.gCalc("S_I_BS_REINSURPAYABLE",$A$2,TEXT(F$3,"yyyy-mm-dd"),F$47)/unit</f>
        <v>0</v>
      </c>
      <c r="G108" s="118">
        <f>_xll.GilCalc.CoGilCalc.gCalc("S_I_BS_REINSURPAYABLE",$A$2,TEXT(G$3,"yyyy-mm-dd"),G$47)/unit</f>
        <v>0</v>
      </c>
    </row>
    <row r="109" spans="1:7" x14ac:dyDescent="0.3">
      <c r="A109" s="87" t="s">
        <v>158</v>
      </c>
      <c r="B109" s="117">
        <f>(_xll.GilCalc.CoGilCalc.gCalc("S_I_BS_UNEARNEDPRESERVE",StockCode,TEXT(B$3,"yyyy-mm-dd"),B$47)+_xll.GilCalc.CoGilCalc.gCalc("S_I_BS_OUTCLAIMRESERVE",StockCode,TEXT(B$3,"yyyy-mm-dd"),B$47)+_xll.GilCalc.CoGilCalc.gCalc("S_I_BS_LIFEINSURRESERVE",StockCode,TEXT(B$3,"yyyy-mm-dd"),B$47)+_xll.GilCalc.CoGilCalc.gCalc("S_I_BS_LTHEALTHINSURRESERVE",StockCode,TEXT(B$3,"yyyy-mm-dd"),B$47))/unit</f>
        <v>0</v>
      </c>
      <c r="C109" s="117">
        <f>(_xll.GilCalc.CoGilCalc.gCalc("S_I_BS_UNEARNEDPRESERVE",StockCode,TEXT(C$3,"yyyy-mm-dd"),C$47)+_xll.GilCalc.CoGilCalc.gCalc("S_I_BS_OUTCLAIMRESERVE",StockCode,TEXT(C$3,"yyyy-mm-dd"),C$47)+_xll.GilCalc.CoGilCalc.gCalc("S_I_BS_LIFEINSURRESERVE",StockCode,TEXT(C$3,"yyyy-mm-dd"),C$47)+_xll.GilCalc.CoGilCalc.gCalc("S_I_BS_LTHEALTHINSURRESERVE",StockCode,TEXT(C$3,"yyyy-mm-dd"),C$47))/unit</f>
        <v>0</v>
      </c>
      <c r="D109" s="117">
        <f>(_xll.GilCalc.CoGilCalc.gCalc("S_I_BS_UNEARNEDPRESERVE",StockCode,TEXT(D$3,"yyyy-mm-dd"),D$47)+_xll.GilCalc.CoGilCalc.gCalc("S_I_BS_OUTCLAIMRESERVE",StockCode,TEXT(D$3,"yyyy-mm-dd"),D$47)+_xll.GilCalc.CoGilCalc.gCalc("S_I_BS_LIFEINSURRESERVE",StockCode,TEXT(D$3,"yyyy-mm-dd"),D$47)+_xll.GilCalc.CoGilCalc.gCalc("S_I_BS_LTHEALTHINSURRESERVE",StockCode,TEXT(D$3,"yyyy-mm-dd"),D$47))/unit</f>
        <v>0</v>
      </c>
      <c r="E109" s="117">
        <f>(_xll.GilCalc.CoGilCalc.gCalc("S_I_BS_UNEARNEDPRESERVE",StockCode,TEXT(E$3,"yyyy-mm-dd"),E$47)+_xll.GilCalc.CoGilCalc.gCalc("S_I_BS_OUTCLAIMRESERVE",StockCode,TEXT(E$3,"yyyy-mm-dd"),E$47)+_xll.GilCalc.CoGilCalc.gCalc("S_I_BS_LIFEINSURRESERVE",StockCode,TEXT(E$3,"yyyy-mm-dd"),E$47)+_xll.GilCalc.CoGilCalc.gCalc("S_I_BS_LTHEALTHINSURRESERVE",StockCode,TEXT(E$3,"yyyy-mm-dd"),E$47))/unit</f>
        <v>0</v>
      </c>
      <c r="F109" s="117">
        <f>(_xll.GilCalc.CoGilCalc.gCalc("S_I_BS_UNEARNEDPRESERVE",StockCode,TEXT(F$3,"yyyy-mm-dd"),F$47)+_xll.GilCalc.CoGilCalc.gCalc("S_I_BS_OUTCLAIMRESERVE",StockCode,TEXT(F$3,"yyyy-mm-dd"),F$47)+_xll.GilCalc.CoGilCalc.gCalc("S_I_BS_LIFEINSURRESERVE",StockCode,TEXT(F$3,"yyyy-mm-dd"),F$47)+_xll.GilCalc.CoGilCalc.gCalc("S_I_BS_LTHEALTHINSURRESERVE",StockCode,TEXT(F$3,"yyyy-mm-dd"),F$47))/unit</f>
        <v>0</v>
      </c>
      <c r="G109" s="117">
        <f>(_xll.GilCalc.CoGilCalc.gCalc("S_I_BS_UNEARNEDPRESERVE",StockCode,TEXT(G$3,"yyyy-mm-dd"),G$47)+_xll.GilCalc.CoGilCalc.gCalc("S_I_BS_OUTCLAIMRESERVE",StockCode,TEXT(G$3,"yyyy-mm-dd"),G$47)+_xll.GilCalc.CoGilCalc.gCalc("S_I_BS_LIFEINSURRESERVE",StockCode,TEXT(G$3,"yyyy-mm-dd"),G$47)+_xll.GilCalc.CoGilCalc.gCalc("S_I_BS_LTHEALTHINSURRESERVE",StockCode,TEXT(G$3,"yyyy-mm-dd"),G$47))/unit</f>
        <v>0</v>
      </c>
    </row>
    <row r="110" spans="1:7" x14ac:dyDescent="0.3">
      <c r="A110" s="87" t="s">
        <v>159</v>
      </c>
      <c r="B110" s="118">
        <f>_xll.GilCalc.CoGilCalc.gCalc("S_S_BS_PROXYSECUPROCEEDS",$A$2,TEXT(B$3,"yyyy-mm-dd"),B$47)/unit</f>
        <v>0</v>
      </c>
      <c r="C110" s="118">
        <f>_xll.GilCalc.CoGilCalc.gCalc("S_S_BS_PROXYSECUPROCEEDS",$A$2,TEXT(C$3,"yyyy-mm-dd"),C$47)/unit</f>
        <v>0</v>
      </c>
      <c r="D110" s="118">
        <f>_xll.GilCalc.CoGilCalc.gCalc("S_S_BS_PROXYSECUPROCEEDS",$A$2,TEXT(D$3,"yyyy-mm-dd"),D$47)/unit</f>
        <v>0</v>
      </c>
      <c r="E110" s="118">
        <f>_xll.GilCalc.CoGilCalc.gCalc("S_S_BS_PROXYSECUPROCEEDS",$A$2,TEXT(E$3,"yyyy-mm-dd"),E$47)/unit</f>
        <v>0</v>
      </c>
      <c r="F110" s="118">
        <f>_xll.GilCalc.CoGilCalc.gCalc("S_S_BS_PROXYSECUPROCEEDS",$A$2,TEXT(F$3,"yyyy-mm-dd"),F$47)/unit</f>
        <v>0</v>
      </c>
      <c r="G110" s="118">
        <f>_xll.GilCalc.CoGilCalc.gCalc("S_S_BS_PROXYSECUPROCEEDS",$A$2,TEXT(G$3,"yyyy-mm-dd"),G$47)/unit</f>
        <v>0</v>
      </c>
    </row>
    <row r="111" spans="1:7" x14ac:dyDescent="0.3">
      <c r="A111" s="87" t="s">
        <v>160</v>
      </c>
      <c r="B111" s="117">
        <f>_xll.GilCalc.CoGilCalc.gCalc("S_S_BS_SUBISSUEPROCEEDS",$A$2,TEXT(B$3,"yyyy-mm-dd"),B$47)/unit</f>
        <v>0</v>
      </c>
      <c r="C111" s="117">
        <f>_xll.GilCalc.CoGilCalc.gCalc("S_S_BS_SUBISSUEPROCEEDS",$A$2,TEXT(C$3,"yyyy-mm-dd"),C$47)/unit</f>
        <v>0</v>
      </c>
      <c r="D111" s="117">
        <f>_xll.GilCalc.CoGilCalc.gCalc("S_S_BS_SUBISSUEPROCEEDS",$A$2,TEXT(D$3,"yyyy-mm-dd"),D$47)/unit</f>
        <v>0</v>
      </c>
      <c r="E111" s="117">
        <f>_xll.GilCalc.CoGilCalc.gCalc("S_S_BS_SUBISSUEPROCEEDS",$A$2,TEXT(E$3,"yyyy-mm-dd"),E$47)/unit</f>
        <v>0</v>
      </c>
      <c r="F111" s="117">
        <f>_xll.GilCalc.CoGilCalc.gCalc("S_S_BS_SUBISSUEPROCEEDS",$A$2,TEXT(F$3,"yyyy-mm-dd"),F$47)/unit</f>
        <v>0</v>
      </c>
      <c r="G111" s="117">
        <f>_xll.GilCalc.CoGilCalc.gCalc("S_S_BS_SUBISSUEPROCEEDS",$A$2,TEXT(G$3,"yyyy-mm-dd"),G$47)/unit</f>
        <v>0</v>
      </c>
    </row>
    <row r="112" spans="1:7" x14ac:dyDescent="0.3">
      <c r="A112" s="87" t="s">
        <v>161</v>
      </c>
      <c r="B112" s="118">
        <f>_xll.GilCalc.CoGilCalc.gCalc("S_E_BS_NONCLIN1Y",$A$2,TEXT(B$3,"yyyy-mm-dd"),B$47)/unit</f>
        <v>0</v>
      </c>
      <c r="C112" s="118">
        <f>_xll.GilCalc.CoGilCalc.gCalc("S_E_BS_NONCLIN1Y",$A$2,TEXT(C$3,"yyyy-mm-dd"),C$47)/unit</f>
        <v>0</v>
      </c>
      <c r="D112" s="118">
        <f>_xll.GilCalc.CoGilCalc.gCalc("S_E_BS_NONCLIN1Y",$A$2,TEXT(D$3,"yyyy-mm-dd"),D$47)/unit</f>
        <v>0</v>
      </c>
      <c r="E112" s="118">
        <f>_xll.GilCalc.CoGilCalc.gCalc("S_E_BS_NONCLIN1Y",$A$2,TEXT(E$3,"yyyy-mm-dd"),E$47)/unit</f>
        <v>0</v>
      </c>
      <c r="F112" s="118">
        <f>_xll.GilCalc.CoGilCalc.gCalc("S_E_BS_NONCLIN1Y",$A$2,TEXT(F$3,"yyyy-mm-dd"),F$47)/unit</f>
        <v>0</v>
      </c>
      <c r="G112" s="118">
        <f>_xll.GilCalc.CoGilCalc.gCalc("S_E_BS_NONCLIN1Y",$A$2,TEXT(G$3,"yyyy-mm-dd"),G$47)/unit</f>
        <v>0</v>
      </c>
    </row>
    <row r="113" spans="1:7" x14ac:dyDescent="0.3">
      <c r="A113" s="87" t="s">
        <v>162</v>
      </c>
      <c r="B113" s="117">
        <f>_xll.GilCalc.CoGilCalc.gCalc("S_E_BS_DIVPAYABLE",$A$2,TEXT(B$3,"yyyy-mm-dd"),B$47)/unit</f>
        <v>0</v>
      </c>
      <c r="C113" s="117">
        <f>_xll.GilCalc.CoGilCalc.gCalc("S_E_BS_DIVPAYABLE",$A$2,TEXT(C$3,"yyyy-mm-dd"),C$47)/unit</f>
        <v>0</v>
      </c>
      <c r="D113" s="117">
        <f>_xll.GilCalc.CoGilCalc.gCalc("S_E_BS_DIVPAYABLE",$A$2,TEXT(D$3,"yyyy-mm-dd"),D$47)/unit</f>
        <v>0</v>
      </c>
      <c r="E113" s="117">
        <f>_xll.GilCalc.CoGilCalc.gCalc("S_E_BS_DIVPAYABLE",$A$2,TEXT(E$3,"yyyy-mm-dd"),E$47)/unit</f>
        <v>0</v>
      </c>
      <c r="F113" s="117">
        <f>_xll.GilCalc.CoGilCalc.gCalc("S_E_BS_DIVPAYABLE",$A$2,TEXT(F$3,"yyyy-mm-dd"),F$47)/unit</f>
        <v>0</v>
      </c>
      <c r="G113" s="117">
        <f>_xll.GilCalc.CoGilCalc.gCalc("S_E_BS_DIVPAYABLE",$A$2,TEXT(G$3,"yyyy-mm-dd"),G$47)/unit</f>
        <v>0</v>
      </c>
    </row>
    <row r="114" spans="1:7" x14ac:dyDescent="0.3">
      <c r="A114" s="87" t="s">
        <v>163</v>
      </c>
      <c r="B114" s="118">
        <f>_xll.GilCalc.CoGilCalc.gCalc("S_E_BS_ACCUREDEXPENSE",$A$2,TEXT(B$3,"yyyy-mm-dd"),B$47)/unit</f>
        <v>0</v>
      </c>
      <c r="C114" s="118">
        <f>_xll.GilCalc.CoGilCalc.gCalc("S_E_BS_ACCUREDEXPENSE",$A$2,TEXT(C$3,"yyyy-mm-dd"),C$47)/unit</f>
        <v>0</v>
      </c>
      <c r="D114" s="118">
        <f>_xll.GilCalc.CoGilCalc.gCalc("S_E_BS_ACCUREDEXPENSE",$A$2,TEXT(D$3,"yyyy-mm-dd"),D$47)/unit</f>
        <v>0</v>
      </c>
      <c r="E114" s="118">
        <f>_xll.GilCalc.CoGilCalc.gCalc("S_E_BS_ACCUREDEXPENSE",$A$2,TEXT(E$3,"yyyy-mm-dd"),E$47)/unit</f>
        <v>0</v>
      </c>
      <c r="F114" s="118">
        <f>_xll.GilCalc.CoGilCalc.gCalc("S_E_BS_ACCUREDEXPENSE",$A$2,TEXT(F$3,"yyyy-mm-dd"),F$47)/unit</f>
        <v>0</v>
      </c>
      <c r="G114" s="118">
        <f>_xll.GilCalc.CoGilCalc.gCalc("S_E_BS_ACCUREDEXPENSE",$A$2,TEXT(G$3,"yyyy-mm-dd"),G$47)/unit</f>
        <v>0</v>
      </c>
    </row>
    <row r="115" spans="1:7" x14ac:dyDescent="0.3">
      <c r="A115" s="87" t="s">
        <v>164</v>
      </c>
      <c r="B115" s="117">
        <f>_xll.GilCalc.CoGilCalc.gCalc("S_E_BS_DEFERREDEXPENSE",$A$2,TEXT(B$3,"yyyy-mm-dd"),B$47)/unit</f>
        <v>0</v>
      </c>
      <c r="C115" s="117">
        <f>_xll.GilCalc.CoGilCalc.gCalc("S_E_BS_DEFERREDEXPENSE",$A$2,TEXT(C$3,"yyyy-mm-dd"),C$47)/unit</f>
        <v>0</v>
      </c>
      <c r="D115" s="117">
        <f>_xll.GilCalc.CoGilCalc.gCalc("S_E_BS_DEFERREDEXPENSE",$A$2,TEXT(D$3,"yyyy-mm-dd"),D$47)/unit</f>
        <v>0</v>
      </c>
      <c r="E115" s="117">
        <f>_xll.GilCalc.CoGilCalc.gCalc("S_E_BS_DEFERREDEXPENSE",$A$2,TEXT(E$3,"yyyy-mm-dd"),E$47)/unit</f>
        <v>0</v>
      </c>
      <c r="F115" s="117">
        <f>_xll.GilCalc.CoGilCalc.gCalc("S_E_BS_DEFERREDEXPENSE",$A$2,TEXT(F$3,"yyyy-mm-dd"),F$47)/unit</f>
        <v>0</v>
      </c>
      <c r="G115" s="117">
        <f>_xll.GilCalc.CoGilCalc.gCalc("S_E_BS_DEFERREDEXPENSE",$A$2,TEXT(G$3,"yyyy-mm-dd"),G$47)/unit</f>
        <v>0</v>
      </c>
    </row>
    <row r="116" spans="1:7" x14ac:dyDescent="0.3">
      <c r="A116" s="87" t="s">
        <v>165</v>
      </c>
      <c r="B116" s="118">
        <f>_xll.GilCalc.CoGilCalc.gCalc("S_E_BS_STBONDPAYABLE",$A$2,TEXT(B$3,"yyyy-mm-dd"),B$47)/unit</f>
        <v>0</v>
      </c>
      <c r="C116" s="118">
        <f>_xll.GilCalc.CoGilCalc.gCalc("S_E_BS_STBONDPAYABLE",$A$2,TEXT(C$3,"yyyy-mm-dd"),C$47)/unit</f>
        <v>0</v>
      </c>
      <c r="D116" s="118">
        <f>_xll.GilCalc.CoGilCalc.gCalc("S_E_BS_STBONDPAYABLE",$A$2,TEXT(D$3,"yyyy-mm-dd"),D$47)/unit</f>
        <v>0</v>
      </c>
      <c r="E116" s="118">
        <f>_xll.GilCalc.CoGilCalc.gCalc("S_E_BS_STBONDPAYABLE",$A$2,TEXT(E$3,"yyyy-mm-dd"),E$47)/unit</f>
        <v>0</v>
      </c>
      <c r="F116" s="118">
        <f>_xll.GilCalc.CoGilCalc.gCalc("S_E_BS_STBONDPAYABLE",$A$2,TEXT(F$3,"yyyy-mm-dd"),F$47)/unit</f>
        <v>0</v>
      </c>
      <c r="G116" s="118">
        <f>_xll.GilCalc.CoGilCalc.gCalc("S_E_BS_STBONDPAYABLE",$A$2,TEXT(G$3,"yyyy-mm-dd"),G$47)/unit</f>
        <v>0</v>
      </c>
    </row>
    <row r="117" spans="1:7" x14ac:dyDescent="0.3">
      <c r="A117" s="87" t="s">
        <v>166</v>
      </c>
      <c r="B117" s="117">
        <f>_xll.GilCalc.CoGilCalc.gCalc("S_E_BS_OTHERCURRLIABILITY",$A$2,TEXT(B$3,"yyyy-mm-dd"),B$47)/unit</f>
        <v>0</v>
      </c>
      <c r="C117" s="117">
        <f>_xll.GilCalc.CoGilCalc.gCalc("S_E_BS_OTHERCURRLIABILITY",$A$2,TEXT(C$3,"yyyy-mm-dd"),C$47)/unit</f>
        <v>0</v>
      </c>
      <c r="D117" s="117">
        <f>_xll.GilCalc.CoGilCalc.gCalc("S_E_BS_OTHERCURRLIABILITY",$A$2,TEXT(D$3,"yyyy-mm-dd"),D$47)/unit</f>
        <v>0</v>
      </c>
      <c r="E117" s="117">
        <f>_xll.GilCalc.CoGilCalc.gCalc("S_E_BS_OTHERCURRLIABILITY",$A$2,TEXT(E$3,"yyyy-mm-dd"),E$47)/unit</f>
        <v>0</v>
      </c>
      <c r="F117" s="117">
        <f>_xll.GilCalc.CoGilCalc.gCalc("S_E_BS_OTHERCURRLIABILITY",$A$2,TEXT(F$3,"yyyy-mm-dd"),F$47)/unit</f>
        <v>0</v>
      </c>
      <c r="G117" s="117">
        <f>_xll.GilCalc.CoGilCalc.gCalc("S_E_BS_OTHERCURRLIABILITY",$A$2,TEXT(G$3,"yyyy-mm-dd"),G$47)/unit</f>
        <v>0</v>
      </c>
    </row>
    <row r="118" spans="1:7" x14ac:dyDescent="0.3">
      <c r="A118" s="87" t="s">
        <v>167</v>
      </c>
      <c r="B118" s="118">
        <f>B119-SUM(B94:B117)</f>
        <v>0</v>
      </c>
      <c r="C118" s="118">
        <f t="shared" ref="C118:G118" si="7">C119-SUM(C94:C117)</f>
        <v>0</v>
      </c>
      <c r="D118" s="118">
        <f t="shared" si="7"/>
        <v>0</v>
      </c>
      <c r="E118" s="118">
        <f t="shared" si="7"/>
        <v>0</v>
      </c>
      <c r="F118" s="118">
        <f t="shared" si="7"/>
        <v>0</v>
      </c>
      <c r="G118" s="118">
        <f t="shared" si="7"/>
        <v>0</v>
      </c>
    </row>
    <row r="119" spans="1:7" x14ac:dyDescent="0.3">
      <c r="A119" s="87" t="s">
        <v>168</v>
      </c>
      <c r="B119" s="117">
        <f>_xll.GilCalc.CoGilCalc.gCalc("S_E_BS_TOTALCURRLIABILITY",$A$2,TEXT(B$3,"yyyy-mm-dd"),B$47)/unit</f>
        <v>37589.425504999999</v>
      </c>
      <c r="C119" s="117">
        <f>_xll.GilCalc.CoGilCalc.gCalc("S_E_BS_TOTALCURRLIABILITY",$A$2,TEXT(C$3,"yyyy-mm-dd"),C$47)/unit</f>
        <v>35377.951586000003</v>
      </c>
      <c r="D119" s="117">
        <f>_xll.GilCalc.CoGilCalc.gCalc("S_E_BS_TOTALCURRLIABILITY",$A$2,TEXT(D$3,"yyyy-mm-dd"),D$47)/unit</f>
        <v>41485.990933999994</v>
      </c>
      <c r="E119" s="117">
        <f>_xll.GilCalc.CoGilCalc.gCalc("S_E_BS_TOTALCURRLIABILITY",$A$2,TEXT(E$3,"yyyy-mm-dd"),E$47)/unit</f>
        <v>34789.921833</v>
      </c>
      <c r="F119" s="117">
        <f>_xll.GilCalc.CoGilCalc.gCalc("S_E_BS_TOTALCURRLIABILITY",$A$2,TEXT(F$3,"yyyy-mm-dd"),F$47)/unit</f>
        <v>46356.776425999997</v>
      </c>
      <c r="G119" s="117">
        <f>_xll.GilCalc.CoGilCalc.gCalc("S_E_BS_TOTALCURRLIABILITY",$A$2,TEXT(G$3,"yyyy-mm-dd"),G$47)/unit</f>
        <v>33859.565194999996</v>
      </c>
    </row>
    <row r="120" spans="1:7" x14ac:dyDescent="0.3">
      <c r="A120" s="81" t="s">
        <v>169</v>
      </c>
      <c r="B120" s="118"/>
      <c r="C120" s="118"/>
      <c r="D120" s="118"/>
      <c r="E120" s="118"/>
      <c r="F120" s="118"/>
      <c r="G120" s="118"/>
    </row>
    <row r="121" spans="1:7" x14ac:dyDescent="0.3">
      <c r="A121" s="87" t="s">
        <v>170</v>
      </c>
      <c r="B121" s="117">
        <f>_xll.GilCalc.CoGilCalc.gCalc("S_E_BS_LONGTERMLOAN",$A$2,TEXT(B$3,"yyyy-mm-dd"),B$47)/unit</f>
        <v>0</v>
      </c>
      <c r="C121" s="117">
        <f>_xll.GilCalc.CoGilCalc.gCalc("S_E_BS_LONGTERMLOAN",$A$2,TEXT(C$3,"yyyy-mm-dd"),C$47)/unit</f>
        <v>0</v>
      </c>
      <c r="D121" s="117">
        <f>_xll.GilCalc.CoGilCalc.gCalc("S_E_BS_LONGTERMLOAN",$A$2,TEXT(D$3,"yyyy-mm-dd"),D$47)/unit</f>
        <v>0</v>
      </c>
      <c r="E121" s="117">
        <f>_xll.GilCalc.CoGilCalc.gCalc("S_E_BS_LONGTERMLOAN",$A$2,TEXT(E$3,"yyyy-mm-dd"),E$47)/unit</f>
        <v>0</v>
      </c>
      <c r="F121" s="117">
        <f>_xll.GilCalc.CoGilCalc.gCalc("S_E_BS_LONGTERMLOAN",$A$2,TEXT(F$3,"yyyy-mm-dd"),F$47)/unit</f>
        <v>0</v>
      </c>
      <c r="G121" s="117">
        <f>_xll.GilCalc.CoGilCalc.gCalc("S_E_BS_LONGTERMLOAN",$A$2,TEXT(G$3,"yyyy-mm-dd"),G$47)/unit</f>
        <v>0</v>
      </c>
    </row>
    <row r="122" spans="1:7" x14ac:dyDescent="0.3">
      <c r="A122" s="87" t="s">
        <v>171</v>
      </c>
      <c r="B122" s="118">
        <f>_xll.GilCalc.CoGilCalc.gCalc("S_E_BS_BONDPAYABLE",$A$2,TEXT(B$3,"yyyy-mm-dd"),B$47)/unit</f>
        <v>0</v>
      </c>
      <c r="C122" s="118">
        <f>_xll.GilCalc.CoGilCalc.gCalc("S_E_BS_BONDPAYABLE",$A$2,TEXT(C$3,"yyyy-mm-dd"),C$47)/unit</f>
        <v>0</v>
      </c>
      <c r="D122" s="118">
        <f>_xll.GilCalc.CoGilCalc.gCalc("S_E_BS_BONDPAYABLE",$A$2,TEXT(D$3,"yyyy-mm-dd"),D$47)/unit</f>
        <v>0</v>
      </c>
      <c r="E122" s="118">
        <f>_xll.GilCalc.CoGilCalc.gCalc("S_E_BS_BONDPAYABLE",$A$2,TEXT(E$3,"yyyy-mm-dd"),E$47)/unit</f>
        <v>0</v>
      </c>
      <c r="F122" s="118">
        <f>_xll.GilCalc.CoGilCalc.gCalc("S_E_BS_BONDPAYABLE",$A$2,TEXT(F$3,"yyyy-mm-dd"),F$47)/unit</f>
        <v>0</v>
      </c>
      <c r="G122" s="118">
        <f>_xll.GilCalc.CoGilCalc.gCalc("S_E_BS_BONDPAYABLE",$A$2,TEXT(G$3,"yyyy-mm-dd"),G$47)/unit</f>
        <v>0</v>
      </c>
    </row>
    <row r="123" spans="1:7" x14ac:dyDescent="0.3">
      <c r="A123" s="87" t="s">
        <v>172</v>
      </c>
      <c r="B123" s="117">
        <f>_xll.GilCalc.CoGilCalc.gCalc("S_E_BS_LONGTERMAP",$A$2,TEXT(B$3,"yyyy-mm-dd"),B$47)/unit</f>
        <v>0</v>
      </c>
      <c r="C123" s="117">
        <f>_xll.GilCalc.CoGilCalc.gCalc("S_E_BS_LONGTERMAP",$A$2,TEXT(C$3,"yyyy-mm-dd"),C$47)/unit</f>
        <v>0</v>
      </c>
      <c r="D123" s="117">
        <f>_xll.GilCalc.CoGilCalc.gCalc("S_E_BS_LONGTERMAP",$A$2,TEXT(D$3,"yyyy-mm-dd"),D$47)/unit</f>
        <v>0</v>
      </c>
      <c r="E123" s="117">
        <f>_xll.GilCalc.CoGilCalc.gCalc("S_E_BS_LONGTERMAP",$A$2,TEXT(E$3,"yyyy-mm-dd"),E$47)/unit</f>
        <v>0</v>
      </c>
      <c r="F123" s="117">
        <f>_xll.GilCalc.CoGilCalc.gCalc("S_E_BS_LONGTERMAP",$A$2,TEXT(F$3,"yyyy-mm-dd"),F$47)/unit</f>
        <v>38128.558113999999</v>
      </c>
      <c r="G123" s="117">
        <f>_xll.GilCalc.CoGilCalc.gCalc("S_E_BS_LONGTERMAP",$A$2,TEXT(G$3,"yyyy-mm-dd"),G$47)/unit</f>
        <v>0</v>
      </c>
    </row>
    <row r="124" spans="1:7" x14ac:dyDescent="0.3">
      <c r="A124" s="87" t="s">
        <v>173</v>
      </c>
      <c r="B124" s="118">
        <f>_xll.GilCalc.CoGilCalc.gCalc("S_E_BS_SPECIFICAP",$A$2,TEXT(B$3,"yyyy-mm-dd"),B$47)/unit</f>
        <v>39815.908113999998</v>
      </c>
      <c r="C124" s="118">
        <f>_xll.GilCalc.CoGilCalc.gCalc("S_E_BS_SPECIFICAP",$A$2,TEXT(C$3,"yyyy-mm-dd"),C$47)/unit</f>
        <v>39896.908113999998</v>
      </c>
      <c r="D124" s="118">
        <f>_xll.GilCalc.CoGilCalc.gCalc("S_E_BS_SPECIFICAP",$A$2,TEXT(D$3,"yyyy-mm-dd"),D$47)/unit</f>
        <v>40781.908113999998</v>
      </c>
      <c r="E124" s="118">
        <f>_xll.GilCalc.CoGilCalc.gCalc("S_E_BS_SPECIFICAP",$A$2,TEXT(E$3,"yyyy-mm-dd"),E$47)/unit</f>
        <v>43835.608113999995</v>
      </c>
      <c r="F124" s="118">
        <f>_xll.GilCalc.CoGilCalc.gCalc("S_E_BS_SPECIFICAP",$A$2,TEXT(F$3,"yyyy-mm-dd"),F$47)/unit</f>
        <v>0</v>
      </c>
      <c r="G124" s="118">
        <f>_xll.GilCalc.CoGilCalc.gCalc("S_E_BS_SPECIFICAP",$A$2,TEXT(G$3,"yyyy-mm-dd"),G$47)/unit</f>
        <v>38348.558113999999</v>
      </c>
    </row>
    <row r="125" spans="1:7" x14ac:dyDescent="0.3">
      <c r="A125" s="87" t="s">
        <v>174</v>
      </c>
      <c r="B125" s="117">
        <f>_xll.GilCalc.CoGilCalc.gCalc("S_E_BS_ESTIMATELIABILITY",$A$2,TEXT(B$3,"yyyy-mm-dd"),B$47)/unit</f>
        <v>0</v>
      </c>
      <c r="C125" s="117">
        <f>_xll.GilCalc.CoGilCalc.gCalc("S_E_BS_ESTIMATELIABILITY",$A$2,TEXT(C$3,"yyyy-mm-dd"),C$47)/unit</f>
        <v>0</v>
      </c>
      <c r="D125" s="117">
        <f>_xll.GilCalc.CoGilCalc.gCalc("S_E_BS_ESTIMATELIABILITY",$A$2,TEXT(D$3,"yyyy-mm-dd"),D$47)/unit</f>
        <v>0</v>
      </c>
      <c r="E125" s="117">
        <f>_xll.GilCalc.CoGilCalc.gCalc("S_E_BS_ESTIMATELIABILITY",$A$2,TEXT(E$3,"yyyy-mm-dd"),E$47)/unit</f>
        <v>0</v>
      </c>
      <c r="F125" s="117">
        <f>_xll.GilCalc.CoGilCalc.gCalc("S_E_BS_ESTIMATELIABILITY",$A$2,TEXT(F$3,"yyyy-mm-dd"),F$47)/unit</f>
        <v>0</v>
      </c>
      <c r="G125" s="117">
        <f>_xll.GilCalc.CoGilCalc.gCalc("S_E_BS_ESTIMATELIABILITY",$A$2,TEXT(G$3,"yyyy-mm-dd"),G$47)/unit</f>
        <v>0</v>
      </c>
    </row>
    <row r="126" spans="1:7" x14ac:dyDescent="0.3">
      <c r="A126" s="87" t="s">
        <v>175</v>
      </c>
      <c r="B126" s="118">
        <f>_xll.GilCalc.CoGilCalc.gCalc("S_E_BS_DEFERREDTAXLIABILITY",$A$2,TEXT(B$3,"yyyy-mm-dd"),B$47)/unit</f>
        <v>0</v>
      </c>
      <c r="C126" s="118">
        <f>_xll.GilCalc.CoGilCalc.gCalc("S_E_BS_DEFERREDTAXLIABILITY",$A$2,TEXT(C$3,"yyyy-mm-dd"),C$47)/unit</f>
        <v>6.2789999999999999</v>
      </c>
      <c r="D126" s="118">
        <f>_xll.GilCalc.CoGilCalc.gCalc("S_E_BS_DEFERREDTAXLIABILITY",$A$2,TEXT(D$3,"yyyy-mm-dd"),D$47)/unit</f>
        <v>0</v>
      </c>
      <c r="E126" s="118">
        <f>_xll.GilCalc.CoGilCalc.gCalc("S_E_BS_DEFERREDTAXLIABILITY",$A$2,TEXT(E$3,"yyyy-mm-dd"),E$47)/unit</f>
        <v>0</v>
      </c>
      <c r="F126" s="118">
        <f>_xll.GilCalc.CoGilCalc.gCalc("S_E_BS_DEFERREDTAXLIABILITY",$A$2,TEXT(F$3,"yyyy-mm-dd"),F$47)/unit</f>
        <v>0</v>
      </c>
      <c r="G126" s="118">
        <f>_xll.GilCalc.CoGilCalc.gCalc("S_E_BS_DEFERREDTAXLIABILITY",$A$2,TEXT(G$3,"yyyy-mm-dd"),G$47)/unit</f>
        <v>0</v>
      </c>
    </row>
    <row r="127" spans="1:7" x14ac:dyDescent="0.3">
      <c r="A127" s="87" t="s">
        <v>176</v>
      </c>
      <c r="B127" s="117">
        <f>_xll.GilCalc.CoGilCalc.gCalc("S_E_BS_OTHERNONCURRLIABILITY",$A$2,TEXT(B$3,"yyyy-mm-dd"),B$47)/unit</f>
        <v>6500</v>
      </c>
      <c r="C127" s="117">
        <f>_xll.GilCalc.CoGilCalc.gCalc("S_E_BS_OTHERNONCURRLIABILITY",$A$2,TEXT(C$3,"yyyy-mm-dd"),C$47)/unit</f>
        <v>3000</v>
      </c>
      <c r="D127" s="117">
        <f>_xll.GilCalc.CoGilCalc.gCalc("S_E_BS_OTHERNONCURRLIABILITY",$A$2,TEXT(D$3,"yyyy-mm-dd"),D$47)/unit</f>
        <v>0</v>
      </c>
      <c r="E127" s="117">
        <f>_xll.GilCalc.CoGilCalc.gCalc("S_E_BS_OTHERNONCURRLIABILITY",$A$2,TEXT(E$3,"yyyy-mm-dd"),E$47)/unit</f>
        <v>0</v>
      </c>
      <c r="F127" s="117">
        <f>_xll.GilCalc.CoGilCalc.gCalc("S_E_BS_OTHERNONCURRLIABILITY",$A$2,TEXT(F$3,"yyyy-mm-dd"),F$47)/unit</f>
        <v>0</v>
      </c>
      <c r="G127" s="117">
        <f>_xll.GilCalc.CoGilCalc.gCalc("S_E_BS_OTHERNONCURRLIABILITY",$A$2,TEXT(G$3,"yyyy-mm-dd"),G$47)/unit</f>
        <v>0</v>
      </c>
    </row>
    <row r="128" spans="1:7" x14ac:dyDescent="0.3">
      <c r="A128" s="87" t="s">
        <v>177</v>
      </c>
      <c r="B128" s="118">
        <f>B129-SUM(B121:B127)</f>
        <v>8509.310046000006</v>
      </c>
      <c r="C128" s="118">
        <f t="shared" ref="C128:G128" si="8">C129-SUM(C121:C127)</f>
        <v>8247.3281389999975</v>
      </c>
      <c r="D128" s="118">
        <f t="shared" si="8"/>
        <v>8345.3462319999962</v>
      </c>
      <c r="E128" s="118">
        <f t="shared" si="8"/>
        <v>8083.3643250000023</v>
      </c>
      <c r="F128" s="118">
        <f t="shared" si="8"/>
        <v>14709.382418000001</v>
      </c>
      <c r="G128" s="118">
        <f t="shared" si="8"/>
        <v>14024.751915000001</v>
      </c>
    </row>
    <row r="129" spans="1:7" x14ac:dyDescent="0.3">
      <c r="A129" s="87" t="s">
        <v>178</v>
      </c>
      <c r="B129" s="117">
        <f>_xll.GilCalc.CoGilCalc.gCalc("S_E_BS_TOTALNONCURRLIABILITY",$A$2,TEXT(B$3,"yyyy-mm-dd"),B$47)/unit</f>
        <v>54825.218160000004</v>
      </c>
      <c r="C129" s="117">
        <f>_xll.GilCalc.CoGilCalc.gCalc("S_E_BS_TOTALNONCURRLIABILITY",$A$2,TEXT(C$3,"yyyy-mm-dd"),C$47)/unit</f>
        <v>51150.515252999998</v>
      </c>
      <c r="D129" s="117">
        <f>_xll.GilCalc.CoGilCalc.gCalc("S_E_BS_TOTALNONCURRLIABILITY",$A$2,TEXT(D$3,"yyyy-mm-dd"),D$47)/unit</f>
        <v>49127.254345999994</v>
      </c>
      <c r="E129" s="117">
        <f>_xll.GilCalc.CoGilCalc.gCalc("S_E_BS_TOTALNONCURRLIABILITY",$A$2,TEXT(E$3,"yyyy-mm-dd"),E$47)/unit</f>
        <v>51918.972438999997</v>
      </c>
      <c r="F129" s="117">
        <f>_xll.GilCalc.CoGilCalc.gCalc("S_E_BS_TOTALNONCURRLIABILITY",$A$2,TEXT(F$3,"yyyy-mm-dd"),F$47)/unit</f>
        <v>52837.940532000001</v>
      </c>
      <c r="G129" s="117">
        <f>_xll.GilCalc.CoGilCalc.gCalc("S_E_BS_TOTALNONCURRLIABILITY",$A$2,TEXT(G$3,"yyyy-mm-dd"),G$47)/unit</f>
        <v>52373.310029</v>
      </c>
    </row>
    <row r="130" spans="1:7" x14ac:dyDescent="0.3">
      <c r="A130" s="87" t="s">
        <v>179</v>
      </c>
      <c r="B130" s="118">
        <f>B131-B129-B119</f>
        <v>0</v>
      </c>
      <c r="C130" s="118">
        <f t="shared" ref="C130:G130" si="9">C131-C129-C119</f>
        <v>0</v>
      </c>
      <c r="D130" s="118">
        <f t="shared" si="9"/>
        <v>0</v>
      </c>
      <c r="E130" s="118">
        <f t="shared" si="9"/>
        <v>0</v>
      </c>
      <c r="F130" s="118">
        <f t="shared" si="9"/>
        <v>0</v>
      </c>
      <c r="G130" s="118">
        <f t="shared" si="9"/>
        <v>0</v>
      </c>
    </row>
    <row r="131" spans="1:7" x14ac:dyDescent="0.3">
      <c r="A131" s="87" t="s">
        <v>180</v>
      </c>
      <c r="B131" s="117">
        <f>_xll.GilCalc.CoGilCalc.gCalc("S_E_BS_TOTALLIABILITY",$A$2,TEXT(B$3,"yyyy-mm-dd"),B$47)/unit</f>
        <v>92414.643664999996</v>
      </c>
      <c r="C131" s="117">
        <f>_xll.GilCalc.CoGilCalc.gCalc("S_E_BS_TOTALLIABILITY",$A$2,TEXT(C$3,"yyyy-mm-dd"),C$47)/unit</f>
        <v>86528.466839000001</v>
      </c>
      <c r="D131" s="117">
        <f>_xll.GilCalc.CoGilCalc.gCalc("S_E_BS_TOTALLIABILITY",$A$2,TEXT(D$3,"yyyy-mm-dd"),D$47)/unit</f>
        <v>90613.245279999988</v>
      </c>
      <c r="E131" s="117">
        <f>_xll.GilCalc.CoGilCalc.gCalc("S_E_BS_TOTALLIABILITY",$A$2,TEXT(E$3,"yyyy-mm-dd"),E$47)/unit</f>
        <v>86708.894272000005</v>
      </c>
      <c r="F131" s="117">
        <f>_xll.GilCalc.CoGilCalc.gCalc("S_E_BS_TOTALLIABILITY",$A$2,TEXT(F$3,"yyyy-mm-dd"),F$47)/unit</f>
        <v>99194.716958000005</v>
      </c>
      <c r="G131" s="117">
        <f>_xll.GilCalc.CoGilCalc.gCalc("S_E_BS_TOTALLIABILITY",$A$2,TEXT(G$3,"yyyy-mm-dd"),G$47)/unit</f>
        <v>86232.875224000003</v>
      </c>
    </row>
    <row r="132" spans="1:7" x14ac:dyDescent="0.3">
      <c r="A132" s="81" t="s">
        <v>181</v>
      </c>
      <c r="B132" s="118"/>
      <c r="C132" s="118"/>
      <c r="D132" s="118"/>
      <c r="E132" s="118"/>
      <c r="F132" s="118"/>
      <c r="G132" s="118"/>
    </row>
    <row r="133" spans="1:7" x14ac:dyDescent="0.3">
      <c r="A133" s="87" t="s">
        <v>182</v>
      </c>
      <c r="B133" s="117">
        <f>_xll.GilCalc.CoGilCalc.gCalc("S_E_BS_PAIDINCAPITAL",$A$2,TEXT(B$3,"yyyy-mm-dd"),B$47)/unit</f>
        <v>20761.1744</v>
      </c>
      <c r="C133" s="117">
        <f>_xll.GilCalc.CoGilCalc.gCalc("S_E_BS_PAIDINCAPITAL",$A$2,TEXT(C$3,"yyyy-mm-dd"),C$47)/unit</f>
        <v>20761.1744</v>
      </c>
      <c r="D133" s="117">
        <f>_xll.GilCalc.CoGilCalc.gCalc("S_E_BS_PAIDINCAPITAL",$A$2,TEXT(D$3,"yyyy-mm-dd"),D$47)/unit</f>
        <v>51902.936000000002</v>
      </c>
      <c r="E133" s="117">
        <f>_xll.GilCalc.CoGilCalc.gCalc("S_E_BS_PAIDINCAPITAL",$A$2,TEXT(E$3,"yyyy-mm-dd"),E$47)/unit</f>
        <v>51902.936000000002</v>
      </c>
      <c r="F133" s="117">
        <f>_xll.GilCalc.CoGilCalc.gCalc("S_E_BS_PAIDINCAPITAL",$A$2,TEXT(F$3,"yyyy-mm-dd"),F$47)/unit</f>
        <v>51902.936000000002</v>
      </c>
      <c r="G133" s="117">
        <f>_xll.GilCalc.CoGilCalc.gCalc("S_E_BS_PAIDINCAPITAL",$A$2,TEXT(G$3,"yyyy-mm-dd"),G$47)/unit</f>
        <v>51902.936000000002</v>
      </c>
    </row>
    <row r="134" spans="1:7" x14ac:dyDescent="0.3">
      <c r="A134" s="87" t="s">
        <v>183</v>
      </c>
      <c r="B134" s="118">
        <f>_xll.GilCalc.CoGilCalc.gCalc("S_E_BS_CAPITALRESERVE",$A$2,TEXT(B$3,"yyyy-mm-dd"),B$47)/unit</f>
        <v>160151.692866</v>
      </c>
      <c r="C134" s="118">
        <f>_xll.GilCalc.CoGilCalc.gCalc("S_E_BS_CAPITALRESERVE",$A$2,TEXT(C$3,"yyyy-mm-dd"),C$47)/unit</f>
        <v>165505.02286600001</v>
      </c>
      <c r="D134" s="118">
        <f>_xll.GilCalc.CoGilCalc.gCalc("S_E_BS_CAPITALRESERVE",$A$2,TEXT(D$3,"yyyy-mm-dd"),D$47)/unit</f>
        <v>149771.10566600002</v>
      </c>
      <c r="E134" s="118">
        <f>_xll.GilCalc.CoGilCalc.gCalc("S_E_BS_CAPITALRESERVE",$A$2,TEXT(E$3,"yyyy-mm-dd"),E$47)/unit</f>
        <v>158260.92635699999</v>
      </c>
      <c r="F134" s="118">
        <f>_xll.GilCalc.CoGilCalc.gCalc("S_E_BS_CAPITALRESERVE",$A$2,TEXT(F$3,"yyyy-mm-dd"),F$47)/unit</f>
        <v>158260.92635699999</v>
      </c>
      <c r="G134" s="118">
        <f>_xll.GilCalc.CoGilCalc.gCalc("S_E_BS_CAPITALRESERVE",$A$2,TEXT(G$3,"yyyy-mm-dd"),G$47)/unit</f>
        <v>158260.92635699999</v>
      </c>
    </row>
    <row r="135" spans="1:7" x14ac:dyDescent="0.3">
      <c r="A135" s="87" t="s">
        <v>184</v>
      </c>
      <c r="B135" s="117">
        <f>_xll.GilCalc.CoGilCalc.gCalc("S_E_BS_TREASURYSTOCK",$A$2,TEXT(B$3,"yyyy-mm-dd"),B$47)/unit</f>
        <v>0</v>
      </c>
      <c r="C135" s="117">
        <f>_xll.GilCalc.CoGilCalc.gCalc("S_E_BS_TREASURYSTOCK",$A$2,TEXT(C$3,"yyyy-mm-dd"),C$47)/unit</f>
        <v>0</v>
      </c>
      <c r="D135" s="117">
        <f>_xll.GilCalc.CoGilCalc.gCalc("S_E_BS_TREASURYSTOCK",$A$2,TEXT(D$3,"yyyy-mm-dd"),D$47)/unit</f>
        <v>0</v>
      </c>
      <c r="E135" s="117">
        <f>_xll.GilCalc.CoGilCalc.gCalc("S_E_BS_TREASURYSTOCK",$A$2,TEXT(E$3,"yyyy-mm-dd"),E$47)/unit</f>
        <v>0</v>
      </c>
      <c r="F135" s="117">
        <f>_xll.GilCalc.CoGilCalc.gCalc("S_E_BS_TREASURYSTOCK",$A$2,TEXT(F$3,"yyyy-mm-dd"),F$47)/unit</f>
        <v>0</v>
      </c>
      <c r="G135" s="117">
        <f>_xll.GilCalc.CoGilCalc.gCalc("S_E_BS_TREASURYSTOCK",$A$2,TEXT(G$3,"yyyy-mm-dd"),G$47)/unit</f>
        <v>0</v>
      </c>
    </row>
    <row r="136" spans="1:7" x14ac:dyDescent="0.3">
      <c r="A136" s="87" t="s">
        <v>185</v>
      </c>
      <c r="B136" s="118">
        <f>_xll.GilCalc.CoGilCalc.gCalc("S_E_BS_SURPLUSRESERVE",$A$2,TEXT(B$3,"yyyy-mm-dd"),B$47)/unit</f>
        <v>10380.5872</v>
      </c>
      <c r="C136" s="118">
        <f>_xll.GilCalc.CoGilCalc.gCalc("S_E_BS_SURPLUSRESERVE",$A$2,TEXT(C$3,"yyyy-mm-dd"),C$47)/unit</f>
        <v>10380.5872</v>
      </c>
      <c r="D136" s="118">
        <f>_xll.GilCalc.CoGilCalc.gCalc("S_E_BS_SURPLUSRESERVE",$A$2,TEXT(D$3,"yyyy-mm-dd"),D$47)/unit</f>
        <v>10380.5872</v>
      </c>
      <c r="E136" s="118">
        <f>_xll.GilCalc.CoGilCalc.gCalc("S_E_BS_SURPLUSRESERVE",$A$2,TEXT(E$3,"yyyy-mm-dd"),E$47)/unit</f>
        <v>10380.5872</v>
      </c>
      <c r="F136" s="118">
        <f>_xll.GilCalc.CoGilCalc.gCalc("S_E_BS_SURPLUSRESERVE",$A$2,TEXT(F$3,"yyyy-mm-dd"),F$47)/unit</f>
        <v>13247.133062000001</v>
      </c>
      <c r="G136" s="118">
        <f>_xll.GilCalc.CoGilCalc.gCalc("S_E_BS_SURPLUSRESERVE",$A$2,TEXT(G$3,"yyyy-mm-dd"),G$47)/unit</f>
        <v>13237.728562999999</v>
      </c>
    </row>
    <row r="137" spans="1:7" x14ac:dyDescent="0.3">
      <c r="A137" s="87" t="s">
        <v>186</v>
      </c>
      <c r="B137" s="117">
        <f>_xll.GilCalc.CoGilCalc.gCalc("S_E_BS_ORDINRISKRESERVE",$A$2,TEXT(B$3,"yyyy-mm-dd"),B$47)/unit</f>
        <v>0</v>
      </c>
      <c r="C137" s="117">
        <f>_xll.GilCalc.CoGilCalc.gCalc("S_E_BS_ORDINRISKRESERVE",$A$2,TEXT(C$3,"yyyy-mm-dd"),C$47)/unit</f>
        <v>0</v>
      </c>
      <c r="D137" s="117">
        <f>_xll.GilCalc.CoGilCalc.gCalc("S_E_BS_ORDINRISKRESERVE",$A$2,TEXT(D$3,"yyyy-mm-dd"),D$47)/unit</f>
        <v>0</v>
      </c>
      <c r="E137" s="117">
        <f>_xll.GilCalc.CoGilCalc.gCalc("S_E_BS_ORDINRISKRESERVE",$A$2,TEXT(E$3,"yyyy-mm-dd"),E$47)/unit</f>
        <v>0</v>
      </c>
      <c r="F137" s="117">
        <f>_xll.GilCalc.CoGilCalc.gCalc("S_E_BS_ORDINRISKRESERVE",$A$2,TEXT(F$3,"yyyy-mm-dd"),F$47)/unit</f>
        <v>0</v>
      </c>
      <c r="G137" s="117">
        <f>_xll.GilCalc.CoGilCalc.gCalc("S_E_BS_ORDINRISKRESERVE",$A$2,TEXT(G$3,"yyyy-mm-dd"),G$47)/unit</f>
        <v>0</v>
      </c>
    </row>
    <row r="138" spans="1:7" x14ac:dyDescent="0.3">
      <c r="A138" s="87" t="s">
        <v>187</v>
      </c>
      <c r="B138" s="118">
        <f>_xll.GilCalc.CoGilCalc.gCalc("S_E_BS_RETAINEDPROFIT",$A$2,TEXT(B$3,"yyyy-mm-dd"),B$47)/unit</f>
        <v>44771.304048999998</v>
      </c>
      <c r="C138" s="118">
        <f>_xll.GilCalc.CoGilCalc.gCalc("S_E_BS_RETAINEDPROFIT",$A$2,TEXT(C$3,"yyyy-mm-dd"),C$47)/unit</f>
        <v>46865.584349000004</v>
      </c>
      <c r="D138" s="118">
        <f>_xll.GilCalc.CoGilCalc.gCalc("S_E_BS_RETAINEDPROFIT",$A$2,TEXT(D$3,"yyyy-mm-dd"),D$47)/unit</f>
        <v>34715.790230999999</v>
      </c>
      <c r="E138" s="118">
        <f>_xll.GilCalc.CoGilCalc.gCalc("S_E_BS_RETAINEDPROFIT",$A$2,TEXT(E$3,"yyyy-mm-dd"),E$47)/unit</f>
        <v>41093.507720000001</v>
      </c>
      <c r="F138" s="118">
        <f>_xll.GilCalc.CoGilCalc.gCalc("S_E_BS_RETAINEDPROFIT",$A$2,TEXT(F$3,"yyyy-mm-dd"),F$47)/unit</f>
        <v>49539.711880000003</v>
      </c>
      <c r="G138" s="118">
        <f>_xll.GilCalc.CoGilCalc.gCalc("S_E_BS_RETAINEDPROFIT",$A$2,TEXT(G$3,"yyyy-mm-dd"),G$47)/unit</f>
        <v>51921.684587000003</v>
      </c>
    </row>
    <row r="139" spans="1:7" x14ac:dyDescent="0.3">
      <c r="A139" s="87" t="s">
        <v>188</v>
      </c>
      <c r="B139" s="117">
        <f>_xll.GilCalc.CoGilCalc.gCalc("S_E_BS_FORCURCONVDIFF",$A$2,TEXT(B$3,"yyyy-mm-dd"),B$47)/unit</f>
        <v>0</v>
      </c>
      <c r="C139" s="117">
        <f>_xll.GilCalc.CoGilCalc.gCalc("S_E_BS_FORCURCONVDIFF",$A$2,TEXT(C$3,"yyyy-mm-dd"),C$47)/unit</f>
        <v>0</v>
      </c>
      <c r="D139" s="117">
        <f>_xll.GilCalc.CoGilCalc.gCalc("S_E_BS_FORCURCONVDIFF",$A$2,TEXT(D$3,"yyyy-mm-dd"),D$47)/unit</f>
        <v>0</v>
      </c>
      <c r="E139" s="117">
        <f>_xll.GilCalc.CoGilCalc.gCalc("S_E_BS_FORCURCONVDIFF",$A$2,TEXT(E$3,"yyyy-mm-dd"),E$47)/unit</f>
        <v>0</v>
      </c>
      <c r="F139" s="117">
        <f>_xll.GilCalc.CoGilCalc.gCalc("S_E_BS_FORCURCONVDIFF",$A$2,TEXT(F$3,"yyyy-mm-dd"),F$47)/unit</f>
        <v>0</v>
      </c>
      <c r="G139" s="117">
        <f>_xll.GilCalc.CoGilCalc.gCalc("S_E_BS_FORCURCONVDIFF",$A$2,TEXT(G$3,"yyyy-mm-dd"),G$47)/unit</f>
        <v>0</v>
      </c>
    </row>
    <row r="140" spans="1:7" x14ac:dyDescent="0.3">
      <c r="A140" s="87" t="s">
        <v>189</v>
      </c>
      <c r="B140" s="118">
        <f>_xll.GilCalc.CoGilCalc.gCalc("S_E_BS_UNCERINVESTLOSS",$A$2,TEXT(B$3,"yyyy-mm-dd"),B$47)/unit</f>
        <v>0</v>
      </c>
      <c r="C140" s="118">
        <f>_xll.GilCalc.CoGilCalc.gCalc("S_E_BS_UNCERINVESTLOSS",$A$2,TEXT(C$3,"yyyy-mm-dd"),C$47)/unit</f>
        <v>0</v>
      </c>
      <c r="D140" s="118">
        <f>_xll.GilCalc.CoGilCalc.gCalc("S_E_BS_UNCERINVESTLOSS",$A$2,TEXT(D$3,"yyyy-mm-dd"),D$47)/unit</f>
        <v>0</v>
      </c>
      <c r="E140" s="118">
        <f>_xll.GilCalc.CoGilCalc.gCalc("S_E_BS_UNCERINVESTLOSS",$A$2,TEXT(E$3,"yyyy-mm-dd"),E$47)/unit</f>
        <v>0</v>
      </c>
      <c r="F140" s="118">
        <f>_xll.GilCalc.CoGilCalc.gCalc("S_E_BS_UNCERINVESTLOSS",$A$2,TEXT(F$3,"yyyy-mm-dd"),F$47)/unit</f>
        <v>0</v>
      </c>
      <c r="G140" s="118">
        <f>_xll.GilCalc.CoGilCalc.gCalc("S_E_BS_UNCERINVESTLOSS",$A$2,TEXT(G$3,"yyyy-mm-dd"),G$47)/unit</f>
        <v>0</v>
      </c>
    </row>
    <row r="141" spans="1:7" x14ac:dyDescent="0.3">
      <c r="A141" s="87" t="s">
        <v>190</v>
      </c>
      <c r="B141" s="117">
        <f>_xll.GilCalc.CoGilCalc.gCalc("S_E_BS_MINORITYEQUITY",$A$2,TEXT(B$3,"yyyy-mm-dd"),B$47)/unit</f>
        <v>66.666667000000004</v>
      </c>
      <c r="C141" s="117">
        <f>_xll.GilCalc.CoGilCalc.gCalc("S_E_BS_MINORITYEQUITY",$A$2,TEXT(C$3,"yyyy-mm-dd"),C$47)/unit</f>
        <v>2352.0105859999999</v>
      </c>
      <c r="D141" s="117">
        <f>_xll.GilCalc.CoGilCalc.gCalc("S_E_BS_MINORITYEQUITY",$A$2,TEXT(D$3,"yyyy-mm-dd"),D$47)/unit</f>
        <v>14755.883172999998</v>
      </c>
      <c r="E141" s="117">
        <f>_xll.GilCalc.CoGilCalc.gCalc("S_E_BS_MINORITYEQUITY",$A$2,TEXT(E$3,"yyyy-mm-dd"),E$47)/unit</f>
        <v>6413.4956920000004</v>
      </c>
      <c r="F141" s="117">
        <f>_xll.GilCalc.CoGilCalc.gCalc("S_E_BS_MINORITYEQUITY",$A$2,TEXT(F$3,"yyyy-mm-dd"),F$47)/unit</f>
        <v>3890.8935620000007</v>
      </c>
      <c r="G141" s="117">
        <f>_xll.GilCalc.CoGilCalc.gCalc("S_E_BS_MINORITYEQUITY",$A$2,TEXT(G$3,"yyyy-mm-dd"),G$47)/unit</f>
        <v>3813.5660270000003</v>
      </c>
    </row>
    <row r="142" spans="1:7" x14ac:dyDescent="0.3">
      <c r="A142" s="87" t="s">
        <v>191</v>
      </c>
      <c r="B142" s="118">
        <f>B144-SUM(B133:B141)-2*B135</f>
        <v>-258.94999399999506</v>
      </c>
      <c r="C142" s="118">
        <f t="shared" ref="C142:G142" si="10">C144-SUM(C133:C141)-2*C135</f>
        <v>522.7397639999981</v>
      </c>
      <c r="D142" s="118">
        <f t="shared" si="10"/>
        <v>2838.0130999999237</v>
      </c>
      <c r="E142" s="118">
        <f t="shared" si="10"/>
        <v>2520.580125999928</v>
      </c>
      <c r="F142" s="118">
        <f t="shared" si="10"/>
        <v>-31.654240000003483</v>
      </c>
      <c r="G142" s="118">
        <f t="shared" si="10"/>
        <v>-1645.9348230000469</v>
      </c>
    </row>
    <row r="143" spans="1:7" x14ac:dyDescent="0.3">
      <c r="A143" s="87" t="s">
        <v>192</v>
      </c>
      <c r="B143" s="117">
        <f>_xll.GilCalc.CoGilCalc.gCalc("S_E_BS_SEWITHOUTMI",StockCode,TEXT(B$3,"yyyy-mm-dd"),B$47)/unit</f>
        <v>235805.808521</v>
      </c>
      <c r="C143" s="117">
        <f>_xll.GilCalc.CoGilCalc.gCalc("S_E_BS_SEWITHOUTMI",StockCode,TEXT(C$3,"yyyy-mm-dd"),C$47)/unit</f>
        <v>244035.10857900005</v>
      </c>
      <c r="D143" s="117">
        <f>_xll.GilCalc.CoGilCalc.gCalc("S_E_BS_SEWITHOUTMI",StockCode,TEXT(D$3,"yyyy-mm-dd"),D$47)/unit</f>
        <v>249608.43219699999</v>
      </c>
      <c r="E143" s="117">
        <f>_xll.GilCalc.CoGilCalc.gCalc("S_E_BS_SEWITHOUTMI",StockCode,TEXT(E$3,"yyyy-mm-dd"),E$47)/unit</f>
        <v>264158.53740299999</v>
      </c>
      <c r="F143" s="117">
        <f>_xll.GilCalc.CoGilCalc.gCalc("S_E_BS_SEWITHOUTMI",StockCode,TEXT(F$3,"yyyy-mm-dd"),F$47)/unit</f>
        <v>272919.053059</v>
      </c>
      <c r="G143" s="117">
        <f>_xll.GilCalc.CoGilCalc.gCalc("S_E_BS_SEWITHOUTMI",StockCode,TEXT(G$3,"yyyy-mm-dd"),G$47)/unit</f>
        <v>273677.340684</v>
      </c>
    </row>
    <row r="144" spans="1:7" x14ac:dyDescent="0.3">
      <c r="A144" s="87" t="s">
        <v>193</v>
      </c>
      <c r="B144" s="118">
        <f>_xll.GilCalc.CoGilCalc.gCalc("S_E_BS_TOTALEQUITY",StockCode,TEXT(B$3,"yyyy-mm-dd"),B$47)/unit</f>
        <v>235872.47518800001</v>
      </c>
      <c r="C144" s="118">
        <f>_xll.GilCalc.CoGilCalc.gCalc("S_E_BS_TOTALEQUITY",StockCode,TEXT(C$3,"yyyy-mm-dd"),C$47)/unit</f>
        <v>246387.11916500001</v>
      </c>
      <c r="D144" s="118">
        <f>_xll.GilCalc.CoGilCalc.gCalc("S_E_BS_TOTALEQUITY",StockCode,TEXT(D$3,"yyyy-mm-dd"),D$47)/unit</f>
        <v>264364.31536999997</v>
      </c>
      <c r="E144" s="118">
        <f>_xll.GilCalc.CoGilCalc.gCalc("S_E_BS_TOTALEQUITY",StockCode,TEXT(E$3,"yyyy-mm-dd"),E$47)/unit</f>
        <v>270572.03309499996</v>
      </c>
      <c r="F144" s="118">
        <f>_xll.GilCalc.CoGilCalc.gCalc("S_E_BS_TOTALEQUITY",StockCode,TEXT(F$3,"yyyy-mm-dd"),F$47)/unit</f>
        <v>276809.94662100001</v>
      </c>
      <c r="G144" s="118">
        <f>_xll.GilCalc.CoGilCalc.gCalc("S_E_BS_TOTALEQUITY",StockCode,TEXT(G$3,"yyyy-mm-dd"),G$47)/unit</f>
        <v>277490.90671100002</v>
      </c>
    </row>
    <row r="145" spans="1:7" x14ac:dyDescent="0.3">
      <c r="A145" s="87" t="s">
        <v>194</v>
      </c>
      <c r="B145" s="117">
        <f>B146-B144-B131</f>
        <v>0</v>
      </c>
      <c r="C145" s="117">
        <f t="shared" ref="C145:G145" si="11">C146-C144-C131</f>
        <v>0</v>
      </c>
      <c r="D145" s="117">
        <f t="shared" si="11"/>
        <v>0</v>
      </c>
      <c r="E145" s="117">
        <f t="shared" si="11"/>
        <v>0</v>
      </c>
      <c r="F145" s="117">
        <f t="shared" si="11"/>
        <v>0</v>
      </c>
      <c r="G145" s="117">
        <f t="shared" si="11"/>
        <v>0</v>
      </c>
    </row>
    <row r="146" spans="1:7" x14ac:dyDescent="0.3">
      <c r="A146" s="87" t="s">
        <v>195</v>
      </c>
      <c r="B146" s="118">
        <f>_xll.GilCalc.CoGilCalc.gCalc("S_E_BS_LIABILITYEQUITY",StockCode,TEXT(B$3,"yyyy-mm-dd"),B$47)/unit</f>
        <v>328287.11885299999</v>
      </c>
      <c r="C146" s="118">
        <f>_xll.GilCalc.CoGilCalc.gCalc("S_E_BS_LIABILITYEQUITY",StockCode,TEXT(C$3,"yyyy-mm-dd"),C$47)/unit</f>
        <v>332915.58600399998</v>
      </c>
      <c r="D146" s="118">
        <f>_xll.GilCalc.CoGilCalc.gCalc("S_E_BS_LIABILITYEQUITY",StockCode,TEXT(D$3,"yyyy-mm-dd"),D$47)/unit</f>
        <v>354977.56065</v>
      </c>
      <c r="E146" s="118">
        <f>_xll.GilCalc.CoGilCalc.gCalc("S_E_BS_LIABILITYEQUITY",StockCode,TEXT(E$3,"yyyy-mm-dd"),E$47)/unit</f>
        <v>357280.92736700003</v>
      </c>
      <c r="F146" s="118">
        <f>_xll.GilCalc.CoGilCalc.gCalc("S_E_BS_LIABILITYEQUITY",StockCode,TEXT(F$3,"yyyy-mm-dd"),F$47)/unit</f>
        <v>376004.66357899999</v>
      </c>
      <c r="G146" s="118">
        <f>_xll.GilCalc.CoGilCalc.gCalc("S_E_BS_LIABILITYEQUITY",StockCode,TEXT(G$3,"yyyy-mm-dd"),G$47)/unit</f>
        <v>363723.78193499998</v>
      </c>
    </row>
    <row r="147" spans="1:7" x14ac:dyDescent="0.3">
      <c r="A147" s="88"/>
      <c r="B147" s="89"/>
      <c r="C147" s="89"/>
      <c r="D147" s="89"/>
      <c r="E147" s="89"/>
      <c r="F147" s="89"/>
      <c r="G147" s="89"/>
    </row>
    <row r="148" spans="1:7" x14ac:dyDescent="0.3">
      <c r="A148" s="81" t="s">
        <v>196</v>
      </c>
      <c r="B148" s="119"/>
      <c r="C148" s="119"/>
      <c r="D148" s="119"/>
      <c r="E148" s="119"/>
      <c r="F148" s="119"/>
      <c r="G148" s="119"/>
    </row>
    <row r="149" spans="1:7" x14ac:dyDescent="0.3">
      <c r="A149" s="81" t="s">
        <v>197</v>
      </c>
      <c r="B149" s="119"/>
      <c r="C149" s="119"/>
      <c r="D149" s="119"/>
      <c r="E149" s="119"/>
      <c r="F149" s="119"/>
      <c r="G149" s="119"/>
    </row>
    <row r="150" spans="1:7" x14ac:dyDescent="0.3">
      <c r="A150" s="87" t="s">
        <v>198</v>
      </c>
      <c r="B150" s="117">
        <f>_xll.GilCalc.CoGilCalc.gCalc("S_E_CFS_GOODSERVICECASHIN",$A$2,TEXT(B$3,"yyyy-mm-dd"),B$5)/unit</f>
        <v>136006.21807100001</v>
      </c>
      <c r="C150" s="117">
        <f>_xll.GilCalc.CoGilCalc.gCalc("S_E_CFS_GOODSERVICECASHIN",$A$2,TEXT(C$3,"yyyy-mm-dd"),C$5)/unit</f>
        <v>23172.489530999999</v>
      </c>
      <c r="D150" s="117">
        <f>_xll.GilCalc.CoGilCalc.gCalc("S_E_CFS_GOODSERVICECASHIN",$A$2,TEXT(D$3,"yyyy-mm-dd"),D$5)/unit</f>
        <v>45338.119506000003</v>
      </c>
      <c r="E150" s="117">
        <f>_xll.GilCalc.CoGilCalc.gCalc("S_E_CFS_GOODSERVICECASHIN",$A$2,TEXT(E$3,"yyyy-mm-dd"),E$5)/unit</f>
        <v>83283.563307000004</v>
      </c>
      <c r="F150" s="117">
        <f>_xll.GilCalc.CoGilCalc.gCalc("S_E_CFS_GOODSERVICECASHIN",$A$2,TEXT(F$3,"yyyy-mm-dd"),F$5)/unit</f>
        <v>153595.505317</v>
      </c>
      <c r="G150" s="117">
        <f>_xll.GilCalc.CoGilCalc.gCalc("S_E_CFS_GOODSERVICECASHIN",$A$2,TEXT(G$3,"yyyy-mm-dd"),G$5)/unit</f>
        <v>25436.390084999999</v>
      </c>
    </row>
    <row r="151" spans="1:7" x14ac:dyDescent="0.3">
      <c r="A151" s="87" t="s">
        <v>199</v>
      </c>
      <c r="B151" s="118">
        <f>_xll.GilCalc.CoGilCalc.gCalc("S_E_CFS_TAXLEVYREFUND",$A$2,TEXT(B$3,"yyyy-mm-dd"),B$5)/unit</f>
        <v>80.370362</v>
      </c>
      <c r="C151" s="118">
        <f>_xll.GilCalc.CoGilCalc.gCalc("S_E_CFS_TAXLEVYREFUND",$A$2,TEXT(C$3,"yyyy-mm-dd"),C$5)/unit</f>
        <v>0.23931599999999997</v>
      </c>
      <c r="D151" s="118">
        <f>_xll.GilCalc.CoGilCalc.gCalc("S_E_CFS_TAXLEVYREFUND",$A$2,TEXT(D$3,"yyyy-mm-dd"),D$5)/unit</f>
        <v>12.437626</v>
      </c>
      <c r="E151" s="118">
        <f>_xll.GilCalc.CoGilCalc.gCalc("S_E_CFS_TAXLEVYREFUND",$A$2,TEXT(E$3,"yyyy-mm-dd"),E$5)/unit</f>
        <v>19.018823999999999</v>
      </c>
      <c r="F151" s="118">
        <f>_xll.GilCalc.CoGilCalc.gCalc("S_E_CFS_TAXLEVYREFUND",$A$2,TEXT(F$3,"yyyy-mm-dd"),F$5)/unit</f>
        <v>37.960701</v>
      </c>
      <c r="G151" s="118">
        <f>_xll.GilCalc.CoGilCalc.gCalc("S_E_CFS_TAXLEVYREFUND",$A$2,TEXT(G$3,"yyyy-mm-dd"),G$5)/unit</f>
        <v>0</v>
      </c>
    </row>
    <row r="152" spans="1:7" x14ac:dyDescent="0.3">
      <c r="A152" s="87" t="s">
        <v>200</v>
      </c>
      <c r="B152" s="117">
        <f>_xll.GilCalc.CoGilCalc.gCalc("S_E_CFS_OTHERCASHINOP",$A$2,TEXT(B$3,"yyyy-mm-dd"),B$5)/unit</f>
        <v>4490.5714939999998</v>
      </c>
      <c r="C152" s="117">
        <f>_xll.GilCalc.CoGilCalc.gCalc("S_E_CFS_OTHERCASHINOP",$A$2,TEXT(C$3,"yyyy-mm-dd"),C$5)/unit</f>
        <v>3558.9757380000001</v>
      </c>
      <c r="D152" s="117">
        <f>_xll.GilCalc.CoGilCalc.gCalc("S_E_CFS_OTHERCASHINOP",$A$2,TEXT(D$3,"yyyy-mm-dd"),D$5)/unit</f>
        <v>4488.9747150000003</v>
      </c>
      <c r="E152" s="117">
        <f>_xll.GilCalc.CoGilCalc.gCalc("S_E_CFS_OTHERCASHINOP",$A$2,TEXT(E$3,"yyyy-mm-dd"),E$5)/unit</f>
        <v>4583.6033150000003</v>
      </c>
      <c r="F152" s="117">
        <f>_xll.GilCalc.CoGilCalc.gCalc("S_E_CFS_OTHERCASHINOP",$A$2,TEXT(F$3,"yyyy-mm-dd"),F$5)/unit</f>
        <v>910.41032900000005</v>
      </c>
      <c r="G152" s="117">
        <f>_xll.GilCalc.CoGilCalc.gCalc("S_E_CFS_OTHERCASHINOP",$A$2,TEXT(G$3,"yyyy-mm-dd"),G$5)/unit</f>
        <v>561.80862200000001</v>
      </c>
    </row>
    <row r="153" spans="1:7" x14ac:dyDescent="0.3">
      <c r="A153" s="87" t="s">
        <v>201</v>
      </c>
      <c r="B153" s="118">
        <f>B154-SUM(B150:B152)</f>
        <v>0</v>
      </c>
      <c r="C153" s="118">
        <f t="shared" ref="C153:G153" si="12">C154-SUM(C150:C152)</f>
        <v>0</v>
      </c>
      <c r="D153" s="118">
        <f t="shared" si="12"/>
        <v>0</v>
      </c>
      <c r="E153" s="118">
        <f t="shared" si="12"/>
        <v>0</v>
      </c>
      <c r="F153" s="118">
        <f t="shared" si="12"/>
        <v>0</v>
      </c>
      <c r="G153" s="118">
        <f t="shared" si="12"/>
        <v>0</v>
      </c>
    </row>
    <row r="154" spans="1:7" x14ac:dyDescent="0.3">
      <c r="A154" s="87" t="s">
        <v>202</v>
      </c>
      <c r="B154" s="117">
        <f>_xll.GilCalc.CoGilCalc.gCalc("S_E_CFS_SUBTOTALOPCIF",$A$2,TEXT(B$3,"yyyy-mm-dd"),B$5)/unit</f>
        <v>140577.159927</v>
      </c>
      <c r="C154" s="117">
        <f>_xll.GilCalc.CoGilCalc.gCalc("S_E_CFS_SUBTOTALOPCIF",$A$2,TEXT(C$3,"yyyy-mm-dd"),C$5)/unit</f>
        <v>26731.704584999999</v>
      </c>
      <c r="D154" s="117">
        <f>_xll.GilCalc.CoGilCalc.gCalc("S_E_CFS_SUBTOTALOPCIF",$A$2,TEXT(D$3,"yyyy-mm-dd"),D$5)/unit</f>
        <v>49839.531847000006</v>
      </c>
      <c r="E154" s="117">
        <f>_xll.GilCalc.CoGilCalc.gCalc("S_E_CFS_SUBTOTALOPCIF",$A$2,TEXT(E$3,"yyyy-mm-dd"),E$5)/unit</f>
        <v>87886.185446000003</v>
      </c>
      <c r="F154" s="117">
        <f>_xll.GilCalc.CoGilCalc.gCalc("S_E_CFS_SUBTOTALOPCIF",$A$2,TEXT(F$3,"yyyy-mm-dd"),F$5)/unit</f>
        <v>154543.87634700001</v>
      </c>
      <c r="G154" s="117">
        <f>_xll.GilCalc.CoGilCalc.gCalc("S_E_CFS_SUBTOTALOPCIF",$A$2,TEXT(G$3,"yyyy-mm-dd"),G$5)/unit</f>
        <v>25998.198707</v>
      </c>
    </row>
    <row r="155" spans="1:7" x14ac:dyDescent="0.3">
      <c r="A155" s="87" t="s">
        <v>203</v>
      </c>
      <c r="B155" s="118">
        <f>_xll.GilCalc.CoGilCalc.gCalc("S_E_CFS_GOODSERVICECASHOUT",$A$2,TEXT(B$3,"yyyy-mm-dd"),B$5)/unit</f>
        <v>50070.326230999999</v>
      </c>
      <c r="C155" s="118">
        <f>_xll.GilCalc.CoGilCalc.gCalc("S_E_CFS_GOODSERVICECASHOUT",$A$2,TEXT(C$3,"yyyy-mm-dd"),C$5)/unit</f>
        <v>15953.009637000001</v>
      </c>
      <c r="D155" s="118">
        <f>_xll.GilCalc.CoGilCalc.gCalc("S_E_CFS_GOODSERVICECASHOUT",$A$2,TEXT(D$3,"yyyy-mm-dd"),D$5)/unit</f>
        <v>15033.380187000001</v>
      </c>
      <c r="E155" s="118">
        <f>_xll.GilCalc.CoGilCalc.gCalc("S_E_CFS_GOODSERVICECASHOUT",$A$2,TEXT(E$3,"yyyy-mm-dd"),E$5)/unit</f>
        <v>37103.079820999999</v>
      </c>
      <c r="F155" s="118">
        <f>_xll.GilCalc.CoGilCalc.gCalc("S_E_CFS_GOODSERVICECASHOUT",$A$2,TEXT(F$3,"yyyy-mm-dd"),F$5)/unit</f>
        <v>64892.496133000008</v>
      </c>
      <c r="G155" s="118">
        <f>_xll.GilCalc.CoGilCalc.gCalc("S_E_CFS_GOODSERVICECASHOUT",$A$2,TEXT(G$3,"yyyy-mm-dd"),G$5)/unit</f>
        <v>13349.052985</v>
      </c>
    </row>
    <row r="156" spans="1:7" x14ac:dyDescent="0.3">
      <c r="A156" s="87" t="s">
        <v>204</v>
      </c>
      <c r="B156" s="117">
        <f>_xll.GilCalc.CoGilCalc.gCalc("S_E_CFS_STAFFBEHALFPAID",$A$2,TEXT(B$3,"yyyy-mm-dd"),B$5)/unit</f>
        <v>36578.523424999999</v>
      </c>
      <c r="C156" s="117">
        <f>_xll.GilCalc.CoGilCalc.gCalc("S_E_CFS_STAFFBEHALFPAID",$A$2,TEXT(C$3,"yyyy-mm-dd"),C$5)/unit</f>
        <v>11532.631658</v>
      </c>
      <c r="D156" s="117">
        <f>_xll.GilCalc.CoGilCalc.gCalc("S_E_CFS_STAFFBEHALFPAID",$A$2,TEXT(D$3,"yyyy-mm-dd"),D$5)/unit</f>
        <v>22256.014913999999</v>
      </c>
      <c r="E156" s="117">
        <f>_xll.GilCalc.CoGilCalc.gCalc("S_E_CFS_STAFFBEHALFPAID",$A$2,TEXT(E$3,"yyyy-mm-dd"),E$5)/unit</f>
        <v>32105.009157999997</v>
      </c>
      <c r="F156" s="117">
        <f>_xll.GilCalc.CoGilCalc.gCalc("S_E_CFS_STAFFBEHALFPAID",$A$2,TEXT(F$3,"yyyy-mm-dd"),F$5)/unit</f>
        <v>43613.766605000004</v>
      </c>
      <c r="G156" s="117">
        <f>_xll.GilCalc.CoGilCalc.gCalc("S_E_CFS_STAFFBEHALFPAID",$A$2,TEXT(G$3,"yyyy-mm-dd"),G$5)/unit</f>
        <v>14449.47777</v>
      </c>
    </row>
    <row r="157" spans="1:7" x14ac:dyDescent="0.3">
      <c r="A157" s="87" t="s">
        <v>205</v>
      </c>
      <c r="B157" s="118">
        <f>_xll.GilCalc.CoGilCalc.gCalc("S_E_CFS_ALLTAXPAID",$A$2,TEXT(B$3,"yyyy-mm-dd"),B$5)/unit</f>
        <v>7410.4002180000007</v>
      </c>
      <c r="C157" s="118">
        <f>_xll.GilCalc.CoGilCalc.gCalc("S_E_CFS_ALLTAXPAID",$A$2,TEXT(C$3,"yyyy-mm-dd"),C$5)/unit</f>
        <v>1468.7052880000001</v>
      </c>
      <c r="D157" s="118">
        <f>_xll.GilCalc.CoGilCalc.gCalc("S_E_CFS_ALLTAXPAID",$A$2,TEXT(D$3,"yyyy-mm-dd"),D$5)/unit</f>
        <v>2697.8938819999998</v>
      </c>
      <c r="E157" s="118">
        <f>_xll.GilCalc.CoGilCalc.gCalc("S_E_CFS_ALLTAXPAID",$A$2,TEXT(E$3,"yyyy-mm-dd"),E$5)/unit</f>
        <v>5100.4839739999998</v>
      </c>
      <c r="F157" s="118">
        <f>_xll.GilCalc.CoGilCalc.gCalc("S_E_CFS_ALLTAXPAID",$A$2,TEXT(F$3,"yyyy-mm-dd"),F$5)/unit</f>
        <v>7863.911775999999</v>
      </c>
      <c r="G157" s="118">
        <f>_xll.GilCalc.CoGilCalc.gCalc("S_E_CFS_ALLTAXPAID",$A$2,TEXT(G$3,"yyyy-mm-dd"),G$5)/unit</f>
        <v>1631.395878</v>
      </c>
    </row>
    <row r="158" spans="1:7" x14ac:dyDescent="0.3">
      <c r="A158" s="87" t="s">
        <v>206</v>
      </c>
      <c r="B158" s="117">
        <f>_xll.GilCalc.CoGilCalc.gCalc("S_E_CFS_OTHERCASHOUTOP",$A$2,TEXT(B$3,"yyyy-mm-dd"),B$5)/unit</f>
        <v>15869.979186000002</v>
      </c>
      <c r="C158" s="117">
        <f>_xll.GilCalc.CoGilCalc.gCalc("S_E_CFS_OTHERCASHOUTOP",$A$2,TEXT(C$3,"yyyy-mm-dd"),C$5)/unit</f>
        <v>2430.4648000000002</v>
      </c>
      <c r="D158" s="117">
        <f>_xll.GilCalc.CoGilCalc.gCalc("S_E_CFS_OTHERCASHOUTOP",$A$2,TEXT(D$3,"yyyy-mm-dd"),D$5)/unit</f>
        <v>7352.7911359999998</v>
      </c>
      <c r="E158" s="117">
        <f>_xll.GilCalc.CoGilCalc.gCalc("S_E_CFS_OTHERCASHOUTOP",$A$2,TEXT(E$3,"yyyy-mm-dd"),E$5)/unit</f>
        <v>12859.374386</v>
      </c>
      <c r="F158" s="117">
        <f>_xll.GilCalc.CoGilCalc.gCalc("S_E_CFS_OTHERCASHOUTOP",$A$2,TEXT(F$3,"yyyy-mm-dd"),F$5)/unit</f>
        <v>16859.846687000001</v>
      </c>
      <c r="G158" s="117">
        <f>_xll.GilCalc.CoGilCalc.gCalc("S_E_CFS_OTHERCASHOUTOP",$A$2,TEXT(G$3,"yyyy-mm-dd"),G$5)/unit</f>
        <v>4409.1039289999999</v>
      </c>
    </row>
    <row r="159" spans="1:7" x14ac:dyDescent="0.3">
      <c r="A159" s="87" t="s">
        <v>207</v>
      </c>
      <c r="B159" s="118">
        <f>B160-SUM(B155:B158)</f>
        <v>0</v>
      </c>
      <c r="C159" s="118">
        <f t="shared" ref="C159:G159" si="13">C160-SUM(C155:C158)</f>
        <v>0</v>
      </c>
      <c r="D159" s="118">
        <f t="shared" si="13"/>
        <v>0</v>
      </c>
      <c r="E159" s="118">
        <f t="shared" si="13"/>
        <v>0</v>
      </c>
      <c r="F159" s="118">
        <f t="shared" si="13"/>
        <v>0</v>
      </c>
      <c r="G159" s="118">
        <f t="shared" si="13"/>
        <v>0</v>
      </c>
    </row>
    <row r="160" spans="1:7" x14ac:dyDescent="0.3">
      <c r="A160" s="87" t="s">
        <v>208</v>
      </c>
      <c r="B160" s="117">
        <f>_xll.GilCalc.CoGilCalc.gCalc("S_E_CFS_SUBTOTALOPCOF",$A$2,TEXT(B$3,"yyyy-mm-dd"),B$5)/unit</f>
        <v>109929.22905999998</v>
      </c>
      <c r="C160" s="117">
        <f>_xll.GilCalc.CoGilCalc.gCalc("S_E_CFS_SUBTOTALOPCOF",$A$2,TEXT(C$3,"yyyy-mm-dd"),C$5)/unit</f>
        <v>31384.811383000004</v>
      </c>
      <c r="D160" s="117">
        <f>_xll.GilCalc.CoGilCalc.gCalc("S_E_CFS_SUBTOTALOPCOF",$A$2,TEXT(D$3,"yyyy-mm-dd"),D$5)/unit</f>
        <v>47340.080118999998</v>
      </c>
      <c r="E160" s="117">
        <f>_xll.GilCalc.CoGilCalc.gCalc("S_E_CFS_SUBTOTALOPCOF",$A$2,TEXT(E$3,"yyyy-mm-dd"),E$5)/unit</f>
        <v>87167.947339000006</v>
      </c>
      <c r="F160" s="117">
        <f>_xll.GilCalc.CoGilCalc.gCalc("S_E_CFS_SUBTOTALOPCOF",$A$2,TEXT(F$3,"yyyy-mm-dd"),F$5)/unit</f>
        <v>133230.021201</v>
      </c>
      <c r="G160" s="117">
        <f>_xll.GilCalc.CoGilCalc.gCalc("S_E_CFS_SUBTOTALOPCOF",$A$2,TEXT(G$3,"yyyy-mm-dd"),G$5)/unit</f>
        <v>33839.030561999993</v>
      </c>
    </row>
    <row r="161" spans="1:7" x14ac:dyDescent="0.3">
      <c r="A161" s="87" t="s">
        <v>209</v>
      </c>
      <c r="B161" s="118">
        <f>B162+B160-B154</f>
        <v>0</v>
      </c>
      <c r="C161" s="118">
        <f t="shared" ref="C161:G161" si="14">C162+C160-C154</f>
        <v>0</v>
      </c>
      <c r="D161" s="118">
        <f t="shared" si="14"/>
        <v>0</v>
      </c>
      <c r="E161" s="118">
        <f t="shared" si="14"/>
        <v>0</v>
      </c>
      <c r="F161" s="118">
        <f t="shared" si="14"/>
        <v>0</v>
      </c>
      <c r="G161" s="118">
        <f t="shared" si="14"/>
        <v>0</v>
      </c>
    </row>
    <row r="162" spans="1:7" x14ac:dyDescent="0.3">
      <c r="A162" s="87" t="s">
        <v>210</v>
      </c>
      <c r="B162" s="117">
        <f>_xll.GilCalc.CoGilCalc.gCalc("S_E_CFS_NETOPCASHFLOW",$A$2,TEXT(B$3,"yyyy-mm-dd"),B$5)/unit</f>
        <v>30647.930867000003</v>
      </c>
      <c r="C162" s="117">
        <f>_xll.GilCalc.CoGilCalc.gCalc("S_E_CFS_NETOPCASHFLOW",$A$2,TEXT(C$3,"yyyy-mm-dd"),C$5)/unit</f>
        <v>-4653.1067979999998</v>
      </c>
      <c r="D162" s="117">
        <f>_xll.GilCalc.CoGilCalc.gCalc("S_E_CFS_NETOPCASHFLOW",$A$2,TEXT(D$3,"yyyy-mm-dd"),D$5)/unit</f>
        <v>2499.451728</v>
      </c>
      <c r="E162" s="117">
        <f>_xll.GilCalc.CoGilCalc.gCalc("S_E_CFS_NETOPCASHFLOW",$A$2,TEXT(E$3,"yyyy-mm-dd"),E$5)/unit</f>
        <v>718.23810700000001</v>
      </c>
      <c r="F162" s="117">
        <f>_xll.GilCalc.CoGilCalc.gCalc("S_E_CFS_NETOPCASHFLOW",$A$2,TEXT(F$3,"yyyy-mm-dd"),F$5)/unit</f>
        <v>21313.855146000002</v>
      </c>
      <c r="G162" s="117">
        <f>_xll.GilCalc.CoGilCalc.gCalc("S_E_CFS_NETOPCASHFLOW",$A$2,TEXT(G$3,"yyyy-mm-dd"),G$5)/unit</f>
        <v>-7840.8318549999995</v>
      </c>
    </row>
    <row r="163" spans="1:7" x14ac:dyDescent="0.3">
      <c r="A163" s="81" t="s">
        <v>211</v>
      </c>
      <c r="B163" s="118"/>
      <c r="C163" s="118"/>
      <c r="D163" s="118"/>
      <c r="E163" s="118"/>
      <c r="F163" s="118"/>
      <c r="G163" s="118"/>
    </row>
    <row r="164" spans="1:7" x14ac:dyDescent="0.3">
      <c r="A164" s="87" t="s">
        <v>212</v>
      </c>
      <c r="B164" s="117">
        <f>_xll.GilCalc.CoGilCalc.gCalc("S_E_CFS_INVESTWITHDRAWAL",$A$2,TEXT(B$3,"yyyy-mm-dd"),B$5)/unit</f>
        <v>0</v>
      </c>
      <c r="C164" s="117">
        <f>_xll.GilCalc.CoGilCalc.gCalc("S_E_CFS_INVESTWITHDRAWAL",$A$2,TEXT(C$3,"yyyy-mm-dd"),C$5)/unit</f>
        <v>0</v>
      </c>
      <c r="D164" s="117">
        <f>_xll.GilCalc.CoGilCalc.gCalc("S_E_CFS_INVESTWITHDRAWAL",$A$2,TEXT(D$3,"yyyy-mm-dd"),D$5)/unit</f>
        <v>0</v>
      </c>
      <c r="E164" s="117">
        <f>_xll.GilCalc.CoGilCalc.gCalc("S_E_CFS_INVESTWITHDRAWAL",$A$2,TEXT(E$3,"yyyy-mm-dd"),E$5)/unit</f>
        <v>4090</v>
      </c>
      <c r="F164" s="117">
        <f>_xll.GilCalc.CoGilCalc.gCalc("S_E_CFS_INVESTWITHDRAWAL",$A$2,TEXT(F$3,"yyyy-mm-dd"),F$5)/unit</f>
        <v>575.22287300000005</v>
      </c>
      <c r="G164" s="117">
        <f>_xll.GilCalc.CoGilCalc.gCalc("S_E_CFS_INVESTWITHDRAWAL",$A$2,TEXT(G$3,"yyyy-mm-dd"),G$5)/unit</f>
        <v>0</v>
      </c>
    </row>
    <row r="165" spans="1:7" x14ac:dyDescent="0.3">
      <c r="A165" s="87" t="s">
        <v>213</v>
      </c>
      <c r="B165" s="118">
        <f>_xll.GilCalc.CoGilCalc.gCalc("S_E_CFS_INVESTPROCEEDS",$A$2,TEXT(B$3,"yyyy-mm-dd"),B$5)/unit</f>
        <v>1549.9236740000001</v>
      </c>
      <c r="C165" s="118">
        <f>_xll.GilCalc.CoGilCalc.gCalc("S_E_CFS_INVESTPROCEEDS",$A$2,TEXT(C$3,"yyyy-mm-dd"),C$5)/unit</f>
        <v>679.31506899999999</v>
      </c>
      <c r="D165" s="118">
        <f>_xll.GilCalc.CoGilCalc.gCalc("S_E_CFS_INVESTPROCEEDS",$A$2,TEXT(D$3,"yyyy-mm-dd"),D$5)/unit</f>
        <v>1360.134935</v>
      </c>
      <c r="E165" s="118">
        <f>_xll.GilCalc.CoGilCalc.gCalc("S_E_CFS_INVESTPROCEEDS",$A$2,TEXT(E$3,"yyyy-mm-dd"),E$5)/unit</f>
        <v>2484.6820579999999</v>
      </c>
      <c r="F165" s="118">
        <f>_xll.GilCalc.CoGilCalc.gCalc("S_E_CFS_INVESTPROCEEDS",$A$2,TEXT(F$3,"yyyy-mm-dd"),F$5)/unit</f>
        <v>7408.2934619999987</v>
      </c>
      <c r="G165" s="118">
        <f>_xll.GilCalc.CoGilCalc.gCalc("S_E_CFS_INVESTPROCEEDS",$A$2,TEXT(G$3,"yyyy-mm-dd"),G$5)/unit</f>
        <v>432.74409100000003</v>
      </c>
    </row>
    <row r="166" spans="1:7" x14ac:dyDescent="0.3">
      <c r="A166" s="87" t="s">
        <v>214</v>
      </c>
      <c r="B166" s="117">
        <f>_xll.GilCalc.CoGilCalc.gCalc("S_E_CFS_FIXINTANGIBLEDISPO",$A$2,TEXT(B$3,"yyyy-mm-dd"),B$5)/unit</f>
        <v>3.4912910000000004</v>
      </c>
      <c r="C166" s="117">
        <f>_xll.GilCalc.CoGilCalc.gCalc("S_E_CFS_FIXINTANGIBLEDISPO",$A$2,TEXT(C$3,"yyyy-mm-dd"),C$5)/unit</f>
        <v>0</v>
      </c>
      <c r="D166" s="117">
        <f>_xll.GilCalc.CoGilCalc.gCalc("S_E_CFS_FIXINTANGIBLEDISPO",$A$2,TEXT(D$3,"yyyy-mm-dd"),D$5)/unit</f>
        <v>0</v>
      </c>
      <c r="E166" s="117">
        <f>_xll.GilCalc.CoGilCalc.gCalc("S_E_CFS_FIXINTANGIBLEDISPO",$A$2,TEXT(E$3,"yyyy-mm-dd"),E$5)/unit</f>
        <v>0</v>
      </c>
      <c r="F166" s="117">
        <f>_xll.GilCalc.CoGilCalc.gCalc("S_E_CFS_FIXINTANGIBLEDISPO",$A$2,TEXT(F$3,"yyyy-mm-dd"),F$5)/unit</f>
        <v>0</v>
      </c>
      <c r="G166" s="117">
        <f>_xll.GilCalc.CoGilCalc.gCalc("S_E_CFS_FIXINTANGIBLEDISPO",$A$2,TEXT(G$3,"yyyy-mm-dd"),G$5)/unit</f>
        <v>1.6</v>
      </c>
    </row>
    <row r="167" spans="1:7" x14ac:dyDescent="0.3">
      <c r="A167" s="87" t="s">
        <v>215</v>
      </c>
      <c r="B167" s="118">
        <f>_xll.GilCalc.CoGilCalc.gCalc("S_E_CFS_NETDEALSUBCOM",$A$2,TEXT(B$3,"yyyy-mm-dd"),B$5)/unit</f>
        <v>0</v>
      </c>
      <c r="C167" s="118">
        <f>_xll.GilCalc.CoGilCalc.gCalc("S_E_CFS_NETDEALSUBCOM",$A$2,TEXT(C$3,"yyyy-mm-dd"),C$5)/unit</f>
        <v>0</v>
      </c>
      <c r="D167" s="118">
        <f>_xll.GilCalc.CoGilCalc.gCalc("S_E_CFS_NETDEALSUBCOM",$A$2,TEXT(D$3,"yyyy-mm-dd"),D$5)/unit</f>
        <v>0</v>
      </c>
      <c r="E167" s="118">
        <f>_xll.GilCalc.CoGilCalc.gCalc("S_E_CFS_NETDEALSUBCOM",$A$2,TEXT(E$3,"yyyy-mm-dd"),E$5)/unit</f>
        <v>0</v>
      </c>
      <c r="F167" s="118">
        <f>_xll.GilCalc.CoGilCalc.gCalc("S_E_CFS_NETDEALSUBCOM",$A$2,TEXT(F$3,"yyyy-mm-dd"),F$5)/unit</f>
        <v>1850.1901330000003</v>
      </c>
      <c r="G167" s="118">
        <f>_xll.GilCalc.CoGilCalc.gCalc("S_E_CFS_NETDEALSUBCOM",$A$2,TEXT(G$3,"yyyy-mm-dd"),G$5)/unit</f>
        <v>0</v>
      </c>
    </row>
    <row r="168" spans="1:7" x14ac:dyDescent="0.3">
      <c r="A168" s="87" t="s">
        <v>216</v>
      </c>
      <c r="B168" s="117">
        <f>_xll.GilCalc.CoGilCalc.gCalc("S_E_CFS_OTHERCASHININV",$A$2,TEXT(B$3,"yyyy-mm-dd"),B$5)/unit</f>
        <v>59400</v>
      </c>
      <c r="C168" s="117">
        <f>_xll.GilCalc.CoGilCalc.gCalc("S_E_CFS_OTHERCASHININV",$A$2,TEXT(C$3,"yyyy-mm-dd"),C$5)/unit</f>
        <v>111900</v>
      </c>
      <c r="D168" s="117">
        <f>_xll.GilCalc.CoGilCalc.gCalc("S_E_CFS_OTHERCASHININV",$A$2,TEXT(D$3,"yyyy-mm-dd"),D$5)/unit</f>
        <v>112797.46440499999</v>
      </c>
      <c r="E168" s="117">
        <f>_xll.GilCalc.CoGilCalc.gCalc("S_E_CFS_OTHERCASHININV",$A$2,TEXT(E$3,"yyyy-mm-dd"),E$5)/unit</f>
        <v>113282.46440499999</v>
      </c>
      <c r="F168" s="117">
        <f>_xll.GilCalc.CoGilCalc.gCalc("S_E_CFS_OTHERCASHININV",$A$2,TEXT(F$3,"yyyy-mm-dd"),F$5)/unit</f>
        <v>111900</v>
      </c>
      <c r="G168" s="117">
        <f>_xll.GilCalc.CoGilCalc.gCalc("S_E_CFS_OTHERCASHININV",$A$2,TEXT(G$3,"yyyy-mm-dd"),G$5)/unit</f>
        <v>0</v>
      </c>
    </row>
    <row r="169" spans="1:7" x14ac:dyDescent="0.3">
      <c r="A169" s="87" t="s">
        <v>217</v>
      </c>
      <c r="B169" s="118">
        <f>B170-SUM(B164:B168)</f>
        <v>0</v>
      </c>
      <c r="C169" s="118">
        <f t="shared" ref="C169:G169" si="15">C170-SUM(C164:C168)</f>
        <v>0</v>
      </c>
      <c r="D169" s="118">
        <f t="shared" si="15"/>
        <v>0</v>
      </c>
      <c r="E169" s="118">
        <f t="shared" si="15"/>
        <v>0</v>
      </c>
      <c r="F169" s="118">
        <f t="shared" si="15"/>
        <v>0</v>
      </c>
      <c r="G169" s="118">
        <f t="shared" si="15"/>
        <v>0</v>
      </c>
    </row>
    <row r="170" spans="1:7" x14ac:dyDescent="0.3">
      <c r="A170" s="87" t="s">
        <v>218</v>
      </c>
      <c r="B170" s="117">
        <f>_xll.GilCalc.CoGilCalc.gCalc("S_E_CFS_SUBTOTALINVCIF",$A$2,TEXT(B$3,"yyyy-mm-dd"),B$5)/unit</f>
        <v>60953.414964999996</v>
      </c>
      <c r="C170" s="117">
        <f>_xll.GilCalc.CoGilCalc.gCalc("S_E_CFS_SUBTOTALINVCIF",$A$2,TEXT(C$3,"yyyy-mm-dd"),C$5)/unit</f>
        <v>112579.31506899997</v>
      </c>
      <c r="D170" s="117">
        <f>_xll.GilCalc.CoGilCalc.gCalc("S_E_CFS_SUBTOTALINVCIF",$A$2,TEXT(D$3,"yyyy-mm-dd"),D$5)/unit</f>
        <v>114157.59934000002</v>
      </c>
      <c r="E170" s="117">
        <f>_xll.GilCalc.CoGilCalc.gCalc("S_E_CFS_SUBTOTALINVCIF",$A$2,TEXT(E$3,"yyyy-mm-dd"),E$5)/unit</f>
        <v>119857.14646300001</v>
      </c>
      <c r="F170" s="117">
        <f>_xll.GilCalc.CoGilCalc.gCalc("S_E_CFS_SUBTOTALINVCIF",$A$2,TEXT(F$3,"yyyy-mm-dd"),F$5)/unit</f>
        <v>121733.706468</v>
      </c>
      <c r="G170" s="117">
        <f>_xll.GilCalc.CoGilCalc.gCalc("S_E_CFS_SUBTOTALINVCIF",$A$2,TEXT(G$3,"yyyy-mm-dd"),G$5)/unit</f>
        <v>434.34409099999999</v>
      </c>
    </row>
    <row r="171" spans="1:7" x14ac:dyDescent="0.3">
      <c r="A171" s="87" t="s">
        <v>219</v>
      </c>
      <c r="B171" s="118">
        <f>_xll.GilCalc.CoGilCalc.gCalc("S_E_CFS_FIXINTANGIBLEACQUI",$A$2,TEXT(B$3,"yyyy-mm-dd"),B$5)/unit</f>
        <v>29599.920716000004</v>
      </c>
      <c r="C171" s="118">
        <f>_xll.GilCalc.CoGilCalc.gCalc("S_E_CFS_FIXINTANGIBLEACQUI",$A$2,TEXT(C$3,"yyyy-mm-dd"),C$5)/unit</f>
        <v>2543.613073</v>
      </c>
      <c r="D171" s="118">
        <f>_xll.GilCalc.CoGilCalc.gCalc("S_E_CFS_FIXINTANGIBLEACQUI",$A$2,TEXT(D$3,"yyyy-mm-dd"),D$5)/unit</f>
        <v>6260.8495819999998</v>
      </c>
      <c r="E171" s="118">
        <f>_xll.GilCalc.CoGilCalc.gCalc("S_E_CFS_FIXINTANGIBLEACQUI",$A$2,TEXT(E$3,"yyyy-mm-dd"),E$5)/unit</f>
        <v>8091.0987369999993</v>
      </c>
      <c r="F171" s="118">
        <f>_xll.GilCalc.CoGilCalc.gCalc("S_E_CFS_FIXINTANGIBLEACQUI",$A$2,TEXT(F$3,"yyyy-mm-dd"),F$5)/unit</f>
        <v>5719.6340710000004</v>
      </c>
      <c r="G171" s="118">
        <f>_xll.GilCalc.CoGilCalc.gCalc("S_E_CFS_FIXINTANGIBLEACQUI",$A$2,TEXT(G$3,"yyyy-mm-dd"),G$5)/unit</f>
        <v>3101.4986699999999</v>
      </c>
    </row>
    <row r="172" spans="1:7" x14ac:dyDescent="0.3">
      <c r="A172" s="87" t="s">
        <v>220</v>
      </c>
      <c r="B172" s="117">
        <f>_xll.GilCalc.CoGilCalc.gCalc("S_E_CFS_INVESTCASHPAID",$A$2,TEXT(B$3,"yyyy-mm-dd"),B$5)/unit</f>
        <v>15540</v>
      </c>
      <c r="C172" s="117">
        <f>_xll.GilCalc.CoGilCalc.gCalc("S_E_CFS_INVESTCASHPAID",$A$2,TEXT(C$3,"yyyy-mm-dd"),C$5)/unit</f>
        <v>0</v>
      </c>
      <c r="D172" s="117">
        <f>_xll.GilCalc.CoGilCalc.gCalc("S_E_CFS_INVESTCASHPAID",$A$2,TEXT(D$3,"yyyy-mm-dd"),D$5)/unit</f>
        <v>10100</v>
      </c>
      <c r="E172" s="117">
        <f>_xll.GilCalc.CoGilCalc.gCalc("S_E_CFS_INVESTCASHPAID",$A$2,TEXT(E$3,"yyyy-mm-dd"),E$5)/unit</f>
        <v>10532</v>
      </c>
      <c r="F172" s="117">
        <f>_xll.GilCalc.CoGilCalc.gCalc("S_E_CFS_INVESTCASHPAID",$A$2,TEXT(F$3,"yyyy-mm-dd"),F$5)/unit</f>
        <v>13832</v>
      </c>
      <c r="G172" s="117">
        <f>_xll.GilCalc.CoGilCalc.gCalc("S_E_CFS_INVESTCASHPAID",$A$2,TEXT(G$3,"yyyy-mm-dd"),G$5)/unit</f>
        <v>0</v>
      </c>
    </row>
    <row r="173" spans="1:7" x14ac:dyDescent="0.3">
      <c r="A173" s="87" t="s">
        <v>221</v>
      </c>
      <c r="B173" s="118">
        <f>_xll.GilCalc.CoGilCalc.gCalc("S_E_CFS_NETFROMSUBCOM",$A$2,TEXT(B$3,"yyyy-mm-dd"),B$5)/unit</f>
        <v>0</v>
      </c>
      <c r="C173" s="118">
        <f>_xll.GilCalc.CoGilCalc.gCalc("S_E_CFS_NETFROMSUBCOM",$A$2,TEXT(C$3,"yyyy-mm-dd"),C$5)/unit</f>
        <v>400</v>
      </c>
      <c r="D173" s="118">
        <f>_xll.GilCalc.CoGilCalc.gCalc("S_E_CFS_NETFROMSUBCOM",$A$2,TEXT(D$3,"yyyy-mm-dd"),D$5)/unit</f>
        <v>300</v>
      </c>
      <c r="E173" s="118">
        <f>_xll.GilCalc.CoGilCalc.gCalc("S_E_CFS_NETFROMSUBCOM",$A$2,TEXT(E$3,"yyyy-mm-dd"),E$5)/unit</f>
        <v>0</v>
      </c>
      <c r="F173" s="118">
        <f>_xll.GilCalc.CoGilCalc.gCalc("S_E_CFS_NETFROMSUBCOM",$A$2,TEXT(F$3,"yyyy-mm-dd"),F$5)/unit</f>
        <v>291.684078</v>
      </c>
      <c r="G173" s="118">
        <f>_xll.GilCalc.CoGilCalc.gCalc("S_E_CFS_NETFROMSUBCOM",$A$2,TEXT(G$3,"yyyy-mm-dd"),G$5)/unit</f>
        <v>0.20966899999999999</v>
      </c>
    </row>
    <row r="174" spans="1:7" x14ac:dyDescent="0.3">
      <c r="A174" s="87" t="s">
        <v>222</v>
      </c>
      <c r="B174" s="117">
        <f>_xll.GilCalc.CoGilCalc.gCalc("S_E_CFS_OTHERCASHOUTINV",$A$2,TEXT(B$3,"yyyy-mm-dd"),B$5)/unit</f>
        <v>111900</v>
      </c>
      <c r="C174" s="117">
        <f>_xll.GilCalc.CoGilCalc.gCalc("S_E_CFS_OTHERCASHOUTINV",$A$2,TEXT(C$3,"yyyy-mm-dd"),C$5)/unit</f>
        <v>39400</v>
      </c>
      <c r="D174" s="117">
        <f>_xll.GilCalc.CoGilCalc.gCalc("S_E_CFS_OTHERCASHOUTINV",$A$2,TEXT(D$3,"yyyy-mm-dd"),D$5)/unit</f>
        <v>77040</v>
      </c>
      <c r="E174" s="117">
        <f>_xll.GilCalc.CoGilCalc.gCalc("S_E_CFS_OTHERCASHOUTINV",$A$2,TEXT(E$3,"yyyy-mm-dd"),E$5)/unit</f>
        <v>110660</v>
      </c>
      <c r="F174" s="117">
        <f>_xll.GilCalc.CoGilCalc.gCalc("S_E_CFS_OTHERCASHOUTINV",$A$2,TEXT(F$3,"yyyy-mm-dd"),F$5)/unit</f>
        <v>85921.99962100001</v>
      </c>
      <c r="G174" s="117">
        <f>_xll.GilCalc.CoGilCalc.gCalc("S_E_CFS_OTHERCASHOUTINV",$A$2,TEXT(G$3,"yyyy-mm-dd"),G$5)/unit</f>
        <v>40000</v>
      </c>
    </row>
    <row r="175" spans="1:7" x14ac:dyDescent="0.3">
      <c r="A175" s="87" t="s">
        <v>223</v>
      </c>
      <c r="B175" s="118">
        <f>B176-SUM(B171:B174)</f>
        <v>0</v>
      </c>
      <c r="C175" s="118">
        <f t="shared" ref="C175:G175" si="16">C176-SUM(C171:C174)</f>
        <v>0</v>
      </c>
      <c r="D175" s="118">
        <f t="shared" si="16"/>
        <v>0</v>
      </c>
      <c r="E175" s="118">
        <f t="shared" si="16"/>
        <v>0</v>
      </c>
      <c r="F175" s="118">
        <f t="shared" si="16"/>
        <v>0</v>
      </c>
      <c r="G175" s="118">
        <f t="shared" si="16"/>
        <v>0</v>
      </c>
    </row>
    <row r="176" spans="1:7" x14ac:dyDescent="0.3">
      <c r="A176" s="87" t="s">
        <v>224</v>
      </c>
      <c r="B176" s="117">
        <f>_xll.GilCalc.CoGilCalc.gCalc("S_E_CFS_SUBTOTALINVCOF",$A$2,TEXT(B$3,"yyyy-mm-dd"),B$5)/unit</f>
        <v>157039.92071600002</v>
      </c>
      <c r="C176" s="117">
        <f>_xll.GilCalc.CoGilCalc.gCalc("S_E_CFS_SUBTOTALINVCOF",$A$2,TEXT(C$3,"yyyy-mm-dd"),C$5)/unit</f>
        <v>42343.613073</v>
      </c>
      <c r="D176" s="117">
        <f>_xll.GilCalc.CoGilCalc.gCalc("S_E_CFS_SUBTOTALINVCOF",$A$2,TEXT(D$3,"yyyy-mm-dd"),D$5)/unit</f>
        <v>93700.84958200001</v>
      </c>
      <c r="E176" s="117">
        <f>_xll.GilCalc.CoGilCalc.gCalc("S_E_CFS_SUBTOTALINVCOF",$A$2,TEXT(E$3,"yyyy-mm-dd"),E$5)/unit</f>
        <v>129283.09873699999</v>
      </c>
      <c r="F176" s="117">
        <f>_xll.GilCalc.CoGilCalc.gCalc("S_E_CFS_SUBTOTALINVCOF",$A$2,TEXT(F$3,"yyyy-mm-dd"),F$5)/unit</f>
        <v>105765.31777000001</v>
      </c>
      <c r="G176" s="117">
        <f>_xll.GilCalc.CoGilCalc.gCalc("S_E_CFS_SUBTOTALINVCOF",$A$2,TEXT(G$3,"yyyy-mm-dd"),G$5)/unit</f>
        <v>43101.708338999997</v>
      </c>
    </row>
    <row r="177" spans="1:7" x14ac:dyDescent="0.3">
      <c r="A177" s="87" t="s">
        <v>225</v>
      </c>
      <c r="B177" s="118">
        <f>B178+B176-B170</f>
        <v>0</v>
      </c>
      <c r="C177" s="118">
        <f t="shared" ref="C177:G177" si="17">C178+C176-C170</f>
        <v>0</v>
      </c>
      <c r="D177" s="118">
        <f t="shared" si="17"/>
        <v>0</v>
      </c>
      <c r="E177" s="118">
        <f t="shared" si="17"/>
        <v>0</v>
      </c>
      <c r="F177" s="118">
        <f t="shared" si="17"/>
        <v>0</v>
      </c>
      <c r="G177" s="118">
        <f t="shared" si="17"/>
        <v>-8.2422957348171622E-12</v>
      </c>
    </row>
    <row r="178" spans="1:7" x14ac:dyDescent="0.3">
      <c r="A178" s="87" t="s">
        <v>226</v>
      </c>
      <c r="B178" s="117">
        <f>_xll.GilCalc.CoGilCalc.gCalc("S_E_CFS_NETINVCASHFLOW",$A$2,TEXT(B$3,"yyyy-mm-dd"),B$5)/unit</f>
        <v>-96086.505751000004</v>
      </c>
      <c r="C178" s="117">
        <f>_xll.GilCalc.CoGilCalc.gCalc("S_E_CFS_NETINVCASHFLOW",$A$2,TEXT(C$3,"yyyy-mm-dd"),C$5)/unit</f>
        <v>70235.701996000003</v>
      </c>
      <c r="D178" s="117">
        <f>_xll.GilCalc.CoGilCalc.gCalc("S_E_CFS_NETINVCASHFLOW",$A$2,TEXT(D$3,"yyyy-mm-dd"),D$5)/unit</f>
        <v>20456.749758000002</v>
      </c>
      <c r="E178" s="117">
        <f>_xll.GilCalc.CoGilCalc.gCalc("S_E_CFS_NETINVCASHFLOW",$A$2,TEXT(E$3,"yyyy-mm-dd"),E$5)/unit</f>
        <v>-9425.9522739999993</v>
      </c>
      <c r="F178" s="117">
        <f>_xll.GilCalc.CoGilCalc.gCalc("S_E_CFS_NETINVCASHFLOW",$A$2,TEXT(F$3,"yyyy-mm-dd"),F$5)/unit</f>
        <v>15968.388697999999</v>
      </c>
      <c r="G178" s="117">
        <f>_xll.GilCalc.CoGilCalc.gCalc("S_E_CFS_NETINVCASHFLOW",$A$2,TEXT(G$3,"yyyy-mm-dd"),G$5)/unit</f>
        <v>-42667.364248000005</v>
      </c>
    </row>
    <row r="179" spans="1:7" x14ac:dyDescent="0.3">
      <c r="A179" s="81" t="s">
        <v>227</v>
      </c>
      <c r="B179" s="118"/>
      <c r="C179" s="118"/>
      <c r="D179" s="118"/>
      <c r="E179" s="118"/>
      <c r="F179" s="118"/>
      <c r="G179" s="118"/>
    </row>
    <row r="180" spans="1:7" x14ac:dyDescent="0.3">
      <c r="A180" s="87" t="s">
        <v>228</v>
      </c>
      <c r="B180" s="117">
        <f>_xll.GilCalc.CoGilCalc.gCalc("S_E_CFS_CASHFROMINVEST",$A$2,TEXT(B$3,"yyyy-mm-dd"),B$5)/unit</f>
        <v>144488.56860999999</v>
      </c>
      <c r="C180" s="117">
        <f>_xll.GilCalc.CoGilCalc.gCalc("S_E_CFS_CASHFROMINVEST",$A$2,TEXT(C$3,"yyyy-mm-dd"),C$5)/unit</f>
        <v>2000</v>
      </c>
      <c r="D180" s="117">
        <f>_xll.GilCalc.CoGilCalc.gCalc("S_E_CFS_CASHFROMINVEST",$A$2,TEXT(D$3,"yyyy-mm-dd"),D$5)/unit</f>
        <v>6000</v>
      </c>
      <c r="E180" s="117">
        <f>_xll.GilCalc.CoGilCalc.gCalc("S_E_CFS_CASHFROMINVEST",$A$2,TEXT(E$3,"yyyy-mm-dd"),E$5)/unit</f>
        <v>6000</v>
      </c>
      <c r="F180" s="117">
        <f>_xll.GilCalc.CoGilCalc.gCalc("S_E_CFS_CASHFROMINVEST",$A$2,TEXT(F$3,"yyyy-mm-dd"),F$5)/unit</f>
        <v>6300</v>
      </c>
      <c r="G180" s="117">
        <f>_xll.GilCalc.CoGilCalc.gCalc("S_E_CFS_CASHFROMINVEST",$A$2,TEXT(G$3,"yyyy-mm-dd"),G$5)/unit</f>
        <v>0</v>
      </c>
    </row>
    <row r="181" spans="1:7" x14ac:dyDescent="0.3">
      <c r="A181" s="87" t="s">
        <v>229</v>
      </c>
      <c r="B181" s="118">
        <f>_xll.GilCalc.CoGilCalc.gCalc("S_E_CFS_MINOSINVESTSUB",$A$2,TEXT(B$3,"yyyy-mm-dd"),B$5)/unit</f>
        <v>6500</v>
      </c>
      <c r="C181" s="118">
        <f>_xll.GilCalc.CoGilCalc.gCalc("S_E_CFS_MINOSINVESTSUB",$A$2,TEXT(C$3,"yyyy-mm-dd"),C$5)/unit</f>
        <v>0</v>
      </c>
      <c r="D181" s="118">
        <f>_xll.GilCalc.CoGilCalc.gCalc("S_E_CFS_MINOSINVESTSUB",$A$2,TEXT(D$3,"yyyy-mm-dd"),D$5)/unit</f>
        <v>6000</v>
      </c>
      <c r="E181" s="118">
        <f>_xll.GilCalc.CoGilCalc.gCalc("S_E_CFS_MINOSINVESTSUB",$A$2,TEXT(E$3,"yyyy-mm-dd"),E$5)/unit</f>
        <v>6000</v>
      </c>
      <c r="F181" s="118">
        <f>_xll.GilCalc.CoGilCalc.gCalc("S_E_CFS_MINOSINVESTSUB",$A$2,TEXT(F$3,"yyyy-mm-dd"),F$5)/unit</f>
        <v>6000</v>
      </c>
      <c r="G181" s="118">
        <f>_xll.GilCalc.CoGilCalc.gCalc("S_E_CFS_MINOSINVESTSUB",$A$2,TEXT(G$3,"yyyy-mm-dd"),G$5)/unit</f>
        <v>0</v>
      </c>
    </row>
    <row r="182" spans="1:7" x14ac:dyDescent="0.3">
      <c r="A182" s="87" t="s">
        <v>230</v>
      </c>
      <c r="B182" s="117">
        <f>_xll.GilCalc.CoGilCalc.gCalc("S_E_CFS_CASHFROMBORROW",$A$2,TEXT(B$3,"yyyy-mm-dd"),B$5)/unit</f>
        <v>0</v>
      </c>
      <c r="C182" s="117">
        <f>_xll.GilCalc.CoGilCalc.gCalc("S_E_CFS_CASHFROMBORROW",$A$2,TEXT(C$3,"yyyy-mm-dd"),C$5)/unit</f>
        <v>0</v>
      </c>
      <c r="D182" s="117">
        <f>_xll.GilCalc.CoGilCalc.gCalc("S_E_CFS_CASHFROMBORROW",$A$2,TEXT(D$3,"yyyy-mm-dd"),D$5)/unit</f>
        <v>0</v>
      </c>
      <c r="E182" s="117">
        <f>_xll.GilCalc.CoGilCalc.gCalc("S_E_CFS_CASHFROMBORROW",$A$2,TEXT(E$3,"yyyy-mm-dd"),E$5)/unit</f>
        <v>0</v>
      </c>
      <c r="F182" s="117">
        <f>_xll.GilCalc.CoGilCalc.gCalc("S_E_CFS_CASHFROMBORROW",$A$2,TEXT(F$3,"yyyy-mm-dd"),F$5)/unit</f>
        <v>0</v>
      </c>
      <c r="G182" s="117">
        <f>_xll.GilCalc.CoGilCalc.gCalc("S_E_CFS_CASHFROMBORROW",$A$2,TEXT(G$3,"yyyy-mm-dd"),G$5)/unit</f>
        <v>0</v>
      </c>
    </row>
    <row r="183" spans="1:7" x14ac:dyDescent="0.3">
      <c r="A183" s="87" t="s">
        <v>231</v>
      </c>
      <c r="B183" s="118">
        <f>_xll.GilCalc.CoGilCalc.gCalc("S_E_CFS_OTHERCASHINFIN",$A$2,TEXT(B$3,"yyyy-mm-dd"),B$5)/unit</f>
        <v>8983.8981139999996</v>
      </c>
      <c r="C183" s="118">
        <f>_xll.GilCalc.CoGilCalc.gCalc("S_E_CFS_OTHERCASHINFIN",$A$2,TEXT(C$3,"yyyy-mm-dd"),C$5)/unit</f>
        <v>81</v>
      </c>
      <c r="D183" s="118">
        <f>_xll.GilCalc.CoGilCalc.gCalc("S_E_CFS_OTHERCASHINFIN",$A$2,TEXT(D$3,"yyyy-mm-dd"),D$5)/unit</f>
        <v>966</v>
      </c>
      <c r="E183" s="118">
        <f>_xll.GilCalc.CoGilCalc.gCalc("S_E_CFS_OTHERCASHINFIN",$A$2,TEXT(E$3,"yyyy-mm-dd"),E$5)/unit</f>
        <v>4019.7</v>
      </c>
      <c r="F183" s="118">
        <f>_xll.GilCalc.CoGilCalc.gCalc("S_E_CFS_OTHERCASHINFIN",$A$2,TEXT(F$3,"yyyy-mm-dd"),F$5)/unit</f>
        <v>5200.6499999999996</v>
      </c>
      <c r="G183" s="118">
        <f>_xll.GilCalc.CoGilCalc.gCalc("S_E_CFS_OTHERCASHINFIN",$A$2,TEXT(G$3,"yyyy-mm-dd"),G$5)/unit</f>
        <v>220</v>
      </c>
    </row>
    <row r="184" spans="1:7" x14ac:dyDescent="0.3">
      <c r="A184" s="87" t="s">
        <v>232</v>
      </c>
      <c r="B184" s="117">
        <f>_xll.GilCalc.CoGilCalc.gCalc("S_E_CFS_CASHFROMBOND",$A$2,TEXT(B$3,"yyyy-mm-dd"),B$5)/unit</f>
        <v>0</v>
      </c>
      <c r="C184" s="117">
        <f>_xll.GilCalc.CoGilCalc.gCalc("S_E_CFS_CASHFROMBOND",$A$2,TEXT(C$3,"yyyy-mm-dd"),C$5)/unit</f>
        <v>0</v>
      </c>
      <c r="D184" s="117">
        <f>_xll.GilCalc.CoGilCalc.gCalc("S_E_CFS_CASHFROMBOND",$A$2,TEXT(D$3,"yyyy-mm-dd"),D$5)/unit</f>
        <v>0</v>
      </c>
      <c r="E184" s="117">
        <f>_xll.GilCalc.CoGilCalc.gCalc("S_E_CFS_CASHFROMBOND",$A$2,TEXT(E$3,"yyyy-mm-dd"),E$5)/unit</f>
        <v>0</v>
      </c>
      <c r="F184" s="117">
        <f>_xll.GilCalc.CoGilCalc.gCalc("S_E_CFS_CASHFROMBOND",$A$2,TEXT(F$3,"yyyy-mm-dd"),F$5)/unit</f>
        <v>0</v>
      </c>
      <c r="G184" s="117">
        <f>_xll.GilCalc.CoGilCalc.gCalc("S_E_CFS_CASHFROMBOND",$A$2,TEXT(G$3,"yyyy-mm-dd"),G$5)/unit</f>
        <v>0</v>
      </c>
    </row>
    <row r="185" spans="1:7" x14ac:dyDescent="0.3">
      <c r="A185" s="87" t="s">
        <v>233</v>
      </c>
      <c r="B185" s="118">
        <f>B186-SUM(B180,B182,B183,B184)</f>
        <v>0</v>
      </c>
      <c r="C185" s="118">
        <f t="shared" ref="C185:G185" si="18">C186-SUM(C180,C182,C183,C184)</f>
        <v>0</v>
      </c>
      <c r="D185" s="118">
        <f t="shared" si="18"/>
        <v>0</v>
      </c>
      <c r="E185" s="118">
        <f t="shared" si="18"/>
        <v>0</v>
      </c>
      <c r="F185" s="118">
        <f t="shared" si="18"/>
        <v>0</v>
      </c>
      <c r="G185" s="118">
        <f t="shared" si="18"/>
        <v>0</v>
      </c>
    </row>
    <row r="186" spans="1:7" x14ac:dyDescent="0.3">
      <c r="A186" s="87" t="s">
        <v>234</v>
      </c>
      <c r="B186" s="117">
        <f>_xll.GilCalc.CoGilCalc.gCalc("S_E_CFS_SUBTOALFINCIF",$A$2,TEXT(B$3,"yyyy-mm-dd"),B$5)/unit</f>
        <v>153472.466724</v>
      </c>
      <c r="C186" s="117">
        <f>_xll.GilCalc.CoGilCalc.gCalc("S_E_CFS_SUBTOALFINCIF",$A$2,TEXT(C$3,"yyyy-mm-dd"),C$5)/unit</f>
        <v>2081</v>
      </c>
      <c r="D186" s="117">
        <f>_xll.GilCalc.CoGilCalc.gCalc("S_E_CFS_SUBTOALFINCIF",$A$2,TEXT(D$3,"yyyy-mm-dd"),D$5)/unit</f>
        <v>6966</v>
      </c>
      <c r="E186" s="117">
        <f>_xll.GilCalc.CoGilCalc.gCalc("S_E_CFS_SUBTOALFINCIF",$A$2,TEXT(E$3,"yyyy-mm-dd"),E$5)/unit</f>
        <v>10019.700000000001</v>
      </c>
      <c r="F186" s="117">
        <f>_xll.GilCalc.CoGilCalc.gCalc("S_E_CFS_SUBTOALFINCIF",$A$2,TEXT(F$3,"yyyy-mm-dd"),F$5)/unit</f>
        <v>11500.65</v>
      </c>
      <c r="G186" s="117">
        <f>_xll.GilCalc.CoGilCalc.gCalc("S_E_CFS_SUBTOALFINCIF",$A$2,TEXT(G$3,"yyyy-mm-dd"),G$5)/unit</f>
        <v>220</v>
      </c>
    </row>
    <row r="187" spans="1:7" x14ac:dyDescent="0.3">
      <c r="A187" s="87" t="s">
        <v>235</v>
      </c>
      <c r="B187" s="118">
        <f>_xll.GilCalc.CoGilCalc.gCalc("S_E_CFS_BORROWREPAY",$A$2,TEXT(B$3,"yyyy-mm-dd"),B$5)/unit</f>
        <v>0</v>
      </c>
      <c r="C187" s="118">
        <f>_xll.GilCalc.CoGilCalc.gCalc("S_E_CFS_BORROWREPAY",$A$2,TEXT(C$3,"yyyy-mm-dd"),C$5)/unit</f>
        <v>0</v>
      </c>
      <c r="D187" s="118">
        <f>_xll.GilCalc.CoGilCalc.gCalc("S_E_CFS_BORROWREPAY",$A$2,TEXT(D$3,"yyyy-mm-dd"),D$5)/unit</f>
        <v>0</v>
      </c>
      <c r="E187" s="118">
        <f>_xll.GilCalc.CoGilCalc.gCalc("S_E_CFS_BORROWREPAY",$A$2,TEXT(E$3,"yyyy-mm-dd"),E$5)/unit</f>
        <v>0</v>
      </c>
      <c r="F187" s="118">
        <f>_xll.GilCalc.CoGilCalc.gCalc("S_E_CFS_BORROWREPAY",$A$2,TEXT(F$3,"yyyy-mm-dd"),F$5)/unit</f>
        <v>0</v>
      </c>
      <c r="G187" s="118">
        <f>_xll.GilCalc.CoGilCalc.gCalc("S_E_CFS_BORROWREPAY",$A$2,TEXT(G$3,"yyyy-mm-dd"),G$5)/unit</f>
        <v>0</v>
      </c>
    </row>
    <row r="188" spans="1:7" x14ac:dyDescent="0.3">
      <c r="A188" s="87" t="s">
        <v>236</v>
      </c>
      <c r="B188" s="117">
        <f>_xll.GilCalc.CoGilCalc.gCalc("S_E_CFS_DIVIPAYMENT",$A$2,TEXT(B$3,"yyyy-mm-dd"),B$5)/unit</f>
        <v>35293.996480000002</v>
      </c>
      <c r="C188" s="117">
        <f>_xll.GilCalc.CoGilCalc.gCalc("S_E_CFS_DIVIPAYMENT",$A$2,TEXT(C$3,"yyyy-mm-dd"),C$5)/unit</f>
        <v>0</v>
      </c>
      <c r="D188" s="117">
        <f>_xll.GilCalc.CoGilCalc.gCalc("S_E_CFS_DIVIPAYMENT",$A$2,TEXT(D$3,"yyyy-mm-dd"),D$5)/unit</f>
        <v>0</v>
      </c>
      <c r="E188" s="117">
        <f>_xll.GilCalc.CoGilCalc.gCalc("S_E_CFS_DIVIPAYMENT",$A$2,TEXT(E$3,"yyyy-mm-dd"),E$5)/unit</f>
        <v>0</v>
      </c>
      <c r="F188" s="117">
        <f>_xll.GilCalc.CoGilCalc.gCalc("S_E_CFS_DIVIPAYMENT",$A$2,TEXT(F$3,"yyyy-mm-dd"),F$5)/unit</f>
        <v>0</v>
      </c>
      <c r="G188" s="117">
        <f>_xll.GilCalc.CoGilCalc.gCalc("S_E_CFS_DIVIPAYMENT",$A$2,TEXT(G$3,"yyyy-mm-dd"),G$5)/unit</f>
        <v>0</v>
      </c>
    </row>
    <row r="189" spans="1:7" x14ac:dyDescent="0.3">
      <c r="A189" s="87" t="s">
        <v>237</v>
      </c>
      <c r="B189" s="118">
        <f>_xll.GilCalc.CoGilCalc.gCalc("S_E_CFS_PROCEEDSUBMINO",$A$2,TEXT(B$3,"yyyy-mm-dd"),B$5)/unit</f>
        <v>0</v>
      </c>
      <c r="C189" s="118">
        <f>_xll.GilCalc.CoGilCalc.gCalc("S_E_CFS_PROCEEDSUBMINO",$A$2,TEXT(C$3,"yyyy-mm-dd"),C$5)/unit</f>
        <v>0</v>
      </c>
      <c r="D189" s="118">
        <f>_xll.GilCalc.CoGilCalc.gCalc("S_E_CFS_PROCEEDSUBMINO",$A$2,TEXT(D$3,"yyyy-mm-dd"),D$5)/unit</f>
        <v>0</v>
      </c>
      <c r="E189" s="118">
        <f>_xll.GilCalc.CoGilCalc.gCalc("S_E_CFS_PROCEEDSUBMINO",$A$2,TEXT(E$3,"yyyy-mm-dd"),E$5)/unit</f>
        <v>0</v>
      </c>
      <c r="F189" s="118">
        <f>_xll.GilCalc.CoGilCalc.gCalc("S_E_CFS_PROCEEDSUBMINO",$A$2,TEXT(F$3,"yyyy-mm-dd"),F$5)/unit</f>
        <v>0</v>
      </c>
      <c r="G189" s="118">
        <f>_xll.GilCalc.CoGilCalc.gCalc("S_E_CFS_PROCEEDSUBMINO",$A$2,TEXT(G$3,"yyyy-mm-dd"),G$5)/unit</f>
        <v>0</v>
      </c>
    </row>
    <row r="190" spans="1:7" x14ac:dyDescent="0.3">
      <c r="A190" s="87" t="s">
        <v>238</v>
      </c>
      <c r="B190" s="117">
        <f>_xll.GilCalc.CoGilCalc.gCalc("S_E_CFS_OTHERCASHOUTFIN",$A$2,TEXT(B$3,"yyyy-mm-dd"),B$5)/unit</f>
        <v>0</v>
      </c>
      <c r="C190" s="117">
        <f>_xll.GilCalc.CoGilCalc.gCalc("S_E_CFS_OTHERCASHOUTFIN",$A$2,TEXT(C$3,"yyyy-mm-dd"),C$5)/unit</f>
        <v>0</v>
      </c>
      <c r="D190" s="117">
        <f>_xll.GilCalc.CoGilCalc.gCalc("S_E_CFS_OTHERCASHOUTFIN",$A$2,TEXT(D$3,"yyyy-mm-dd"),D$5)/unit</f>
        <v>31.141762</v>
      </c>
      <c r="E190" s="117">
        <f>_xll.GilCalc.CoGilCalc.gCalc("S_E_CFS_OTHERCASHOUTFIN",$A$2,TEXT(E$3,"yyyy-mm-dd"),E$5)/unit</f>
        <v>0</v>
      </c>
      <c r="F190" s="117">
        <f>_xll.GilCalc.CoGilCalc.gCalc("S_E_CFS_OTHERCASHOUTFIN",$A$2,TEXT(F$3,"yyyy-mm-dd"),F$5)/unit</f>
        <v>0</v>
      </c>
      <c r="G190" s="117">
        <f>_xll.GilCalc.CoGilCalc.gCalc("S_E_CFS_OTHERCASHOUTFIN",$A$2,TEXT(G$3,"yyyy-mm-dd"),G$5)/unit</f>
        <v>0</v>
      </c>
    </row>
    <row r="191" spans="1:7" x14ac:dyDescent="0.3">
      <c r="A191" s="87" t="s">
        <v>239</v>
      </c>
      <c r="B191" s="118">
        <f>B192-SUM(B187:B188,B190)</f>
        <v>0</v>
      </c>
      <c r="C191" s="118">
        <f t="shared" ref="C191:G191" si="19">C192-SUM(C187:C188,C190)</f>
        <v>0</v>
      </c>
      <c r="D191" s="118">
        <f t="shared" si="19"/>
        <v>0</v>
      </c>
      <c r="E191" s="118">
        <f t="shared" si="19"/>
        <v>0</v>
      </c>
      <c r="F191" s="118">
        <f t="shared" si="19"/>
        <v>0</v>
      </c>
      <c r="G191" s="118">
        <f t="shared" si="19"/>
        <v>0</v>
      </c>
    </row>
    <row r="192" spans="1:7" x14ac:dyDescent="0.3">
      <c r="A192" s="87" t="s">
        <v>240</v>
      </c>
      <c r="B192" s="117">
        <f>_xll.GilCalc.CoGilCalc.gCalc("S_E_CFS_SUBTOALFINCOF",$A$2,TEXT(B$3,"yyyy-mm-dd"),B$5)/unit</f>
        <v>35293.996480000002</v>
      </c>
      <c r="C192" s="117">
        <f>_xll.GilCalc.CoGilCalc.gCalc("S_E_CFS_SUBTOALFINCOF",$A$2,TEXT(C$3,"yyyy-mm-dd"),C$5)/unit</f>
        <v>0</v>
      </c>
      <c r="D192" s="117">
        <f>_xll.GilCalc.CoGilCalc.gCalc("S_E_CFS_SUBTOALFINCOF",$A$2,TEXT(D$3,"yyyy-mm-dd"),D$5)/unit</f>
        <v>31.141762</v>
      </c>
      <c r="E192" s="117">
        <f>_xll.GilCalc.CoGilCalc.gCalc("S_E_CFS_SUBTOALFINCOF",$A$2,TEXT(E$3,"yyyy-mm-dd"),E$5)/unit</f>
        <v>0</v>
      </c>
      <c r="F192" s="117">
        <f>_xll.GilCalc.CoGilCalc.gCalc("S_E_CFS_SUBTOALFINCOF",$A$2,TEXT(F$3,"yyyy-mm-dd"),F$5)/unit</f>
        <v>0</v>
      </c>
      <c r="G192" s="117">
        <f>_xll.GilCalc.CoGilCalc.gCalc("S_E_CFS_SUBTOALFINCOF",$A$2,TEXT(G$3,"yyyy-mm-dd"),G$5)/unit</f>
        <v>0</v>
      </c>
    </row>
    <row r="193" spans="1:7" x14ac:dyDescent="0.3">
      <c r="A193" s="87" t="s">
        <v>241</v>
      </c>
      <c r="B193" s="118">
        <f>B194+B192-B186</f>
        <v>0</v>
      </c>
      <c r="C193" s="118">
        <f t="shared" ref="C193:G193" si="20">C194+C192-C186</f>
        <v>0</v>
      </c>
      <c r="D193" s="118">
        <f t="shared" si="20"/>
        <v>0</v>
      </c>
      <c r="E193" s="118">
        <f t="shared" si="20"/>
        <v>0</v>
      </c>
      <c r="F193" s="118">
        <f t="shared" si="20"/>
        <v>0</v>
      </c>
      <c r="G193" s="118">
        <f t="shared" si="20"/>
        <v>0</v>
      </c>
    </row>
    <row r="194" spans="1:7" x14ac:dyDescent="0.3">
      <c r="A194" s="87" t="s">
        <v>242</v>
      </c>
      <c r="B194" s="117">
        <f>_xll.GilCalc.CoGilCalc.gCalc("S_E_CFS_NETFINCASHFLOW",$A$2,TEXT(B$3,"yyyy-mm-dd"),B$5)/unit</f>
        <v>118178.47024400001</v>
      </c>
      <c r="C194" s="117">
        <f>_xll.GilCalc.CoGilCalc.gCalc("S_E_CFS_NETFINCASHFLOW",$A$2,TEXT(C$3,"yyyy-mm-dd"),C$5)/unit</f>
        <v>2081</v>
      </c>
      <c r="D194" s="117">
        <f>_xll.GilCalc.CoGilCalc.gCalc("S_E_CFS_NETFINCASHFLOW",$A$2,TEXT(D$3,"yyyy-mm-dd"),D$5)/unit</f>
        <v>6934.8582380000007</v>
      </c>
      <c r="E194" s="117">
        <f>_xll.GilCalc.CoGilCalc.gCalc("S_E_CFS_NETFINCASHFLOW",$A$2,TEXT(E$3,"yyyy-mm-dd"),E$5)/unit</f>
        <v>10019.700000000001</v>
      </c>
      <c r="F194" s="117">
        <f>_xll.GilCalc.CoGilCalc.gCalc("S_E_CFS_NETFINCASHFLOW",$A$2,TEXT(F$3,"yyyy-mm-dd"),F$5)/unit</f>
        <v>11500.65</v>
      </c>
      <c r="G194" s="117">
        <f>_xll.GilCalc.CoGilCalc.gCalc("S_E_CFS_NETFINCASHFLOW",$A$2,TEXT(G$3,"yyyy-mm-dd"),G$5)/unit</f>
        <v>220</v>
      </c>
    </row>
    <row r="195" spans="1:7" x14ac:dyDescent="0.3">
      <c r="A195" s="81" t="s">
        <v>243</v>
      </c>
      <c r="B195" s="118"/>
      <c r="C195" s="118"/>
      <c r="D195" s="118"/>
      <c r="E195" s="118"/>
      <c r="F195" s="118"/>
      <c r="G195" s="118"/>
    </row>
    <row r="196" spans="1:7" x14ac:dyDescent="0.3">
      <c r="A196" s="87" t="s">
        <v>244</v>
      </c>
      <c r="B196" s="117">
        <f>_xll.GilCalc.CoGilCalc.gCalc("S_E_CFS_EXRATECHANEFF",$A$2,TEXT(B$3,"yyyy-mm-dd"),B$5)/unit</f>
        <v>9.8987410000000011</v>
      </c>
      <c r="C196" s="117">
        <f>_xll.GilCalc.CoGilCalc.gCalc("S_E_CFS_EXRATECHANEFF",$A$2,TEXT(C$3,"yyyy-mm-dd"),C$5)/unit</f>
        <v>-3.293615</v>
      </c>
      <c r="D196" s="117">
        <f>_xll.GilCalc.CoGilCalc.gCalc("S_E_CFS_EXRATECHANEFF",$A$2,TEXT(D$3,"yyyy-mm-dd"),D$5)/unit</f>
        <v>22.631262</v>
      </c>
      <c r="E196" s="117">
        <f>_xll.GilCalc.CoGilCalc.gCalc("S_E_CFS_EXRATECHANEFF",$A$2,TEXT(E$3,"yyyy-mm-dd"),E$5)/unit</f>
        <v>8.1808209999999999</v>
      </c>
      <c r="F196" s="117">
        <f>_xll.GilCalc.CoGilCalc.gCalc("S_E_CFS_EXRATECHANEFF",$A$2,TEXT(F$3,"yyyy-mm-dd"),F$5)/unit</f>
        <v>-37.297321000000004</v>
      </c>
      <c r="G196" s="117">
        <f>_xll.GilCalc.CoGilCalc.gCalc("S_E_CFS_EXRATECHANEFF",$A$2,TEXT(G$3,"yyyy-mm-dd"),G$5)/unit</f>
        <v>-66.450055000000006</v>
      </c>
    </row>
    <row r="197" spans="1:7" x14ac:dyDescent="0.3">
      <c r="A197" s="87" t="s">
        <v>245</v>
      </c>
      <c r="B197" s="118">
        <f>B198-B194-B178-B162-B196</f>
        <v>-1.0032863428932615E-11</v>
      </c>
      <c r="C197" s="118">
        <f t="shared" ref="C197:G197" si="21">C198-C194-C178-C162-C196</f>
        <v>4.0474290585734707E-12</v>
      </c>
      <c r="D197" s="118">
        <f t="shared" si="21"/>
        <v>-1.0302869668521453E-12</v>
      </c>
      <c r="E197" s="118">
        <f t="shared" si="21"/>
        <v>-8.7219120814552298E-13</v>
      </c>
      <c r="F197" s="118">
        <f t="shared" si="21"/>
        <v>-1.8260948309034575E-12</v>
      </c>
      <c r="G197" s="118">
        <f t="shared" si="21"/>
        <v>8.8533624875708483E-12</v>
      </c>
    </row>
    <row r="198" spans="1:7" x14ac:dyDescent="0.3">
      <c r="A198" s="87" t="s">
        <v>246</v>
      </c>
      <c r="B198" s="117">
        <f>_xll.GilCalc.CoGilCalc.gCalc("S_E_CFS_CASHEQUIINCREASE",$A$2,TEXT(B$3,"yyyy-mm-dd"),B$5)/unit</f>
        <v>52749.794101</v>
      </c>
      <c r="C198" s="117">
        <f>_xll.GilCalc.CoGilCalc.gCalc("S_E_CFS_CASHEQUIINCREASE",$A$2,TEXT(C$3,"yyyy-mm-dd"),C$5)/unit</f>
        <v>67660.301583000008</v>
      </c>
      <c r="D198" s="117">
        <f>_xll.GilCalc.CoGilCalc.gCalc("S_E_CFS_CASHEQUIINCREASE",$A$2,TEXT(D$3,"yyyy-mm-dd"),D$5)/unit</f>
        <v>29913.690986000001</v>
      </c>
      <c r="E198" s="117">
        <f>_xll.GilCalc.CoGilCalc.gCalc("S_E_CFS_CASHEQUIINCREASE",$A$2,TEXT(E$3,"yyyy-mm-dd"),E$5)/unit</f>
        <v>1320.1666539999999</v>
      </c>
      <c r="F198" s="117">
        <f>_xll.GilCalc.CoGilCalc.gCalc("S_E_CFS_CASHEQUIINCREASE",$A$2,TEXT(F$3,"yyyy-mm-dd"),F$5)/unit</f>
        <v>48745.596523</v>
      </c>
      <c r="G198" s="117">
        <f>_xll.GilCalc.CoGilCalc.gCalc("S_E_CFS_CASHEQUIINCREASE",$A$2,TEXT(G$3,"yyyy-mm-dd"),G$5)/unit</f>
        <v>-50354.646157999996</v>
      </c>
    </row>
    <row r="199" spans="1:7" x14ac:dyDescent="0.3">
      <c r="A199" s="87" t="s">
        <v>247</v>
      </c>
      <c r="B199" s="118">
        <f>_xll.GilCalc.CoGilCalc.gCalc("S_E_CFS_BEGINCASHEQUI",$A$2,TEXT(B$3,"yyyy-mm-dd"),B$5)/unit</f>
        <v>31267.170680000003</v>
      </c>
      <c r="C199" s="118">
        <f>_xll.GilCalc.CoGilCalc.gCalc("S_E_CFS_BEGINCASHEQUI",$A$2,TEXT(C$3,"yyyy-mm-dd"),C$5)/unit</f>
        <v>85399.429186000008</v>
      </c>
      <c r="D199" s="118">
        <f>_xll.GilCalc.CoGilCalc.gCalc("S_E_CFS_BEGINCASHEQUI",$A$2,TEXT(D$3,"yyyy-mm-dd"),D$5)/unit</f>
        <v>84016.964780999988</v>
      </c>
      <c r="E199" s="118">
        <f>_xll.GilCalc.CoGilCalc.gCalc("S_E_CFS_BEGINCASHEQUI",$A$2,TEXT(E$3,"yyyy-mm-dd"),E$5)/unit</f>
        <v>84016.964780999988</v>
      </c>
      <c r="F199" s="118">
        <f>_xll.GilCalc.CoGilCalc.gCalc("S_E_CFS_BEGINCASHEQUI",$A$2,TEXT(F$3,"yyyy-mm-dd"),F$5)/unit</f>
        <v>84016.964780999988</v>
      </c>
      <c r="G199" s="118">
        <f>_xll.GilCalc.CoGilCalc.gCalc("S_E_CFS_BEGINCASHEQUI",$A$2,TEXT(G$3,"yyyy-mm-dd"),G$5)/unit</f>
        <v>132762.561304</v>
      </c>
    </row>
    <row r="200" spans="1:7" x14ac:dyDescent="0.3">
      <c r="A200" s="91" t="s">
        <v>248</v>
      </c>
      <c r="B200" s="117">
        <f>_xll.GilCalc.CoGilCalc.gCalc("S_E_CFS_ENDCASHEQUI",$A$2,TEXT(B$3,"yyyy-mm-dd"),B$5)/unit</f>
        <v>84016.964780999988</v>
      </c>
      <c r="C200" s="117">
        <f>_xll.GilCalc.CoGilCalc.gCalc("S_E_CFS_ENDCASHEQUI",$A$2,TEXT(C$3,"yyyy-mm-dd"),C$5)/unit</f>
        <v>153059.73076900002</v>
      </c>
      <c r="D200" s="117">
        <f>_xll.GilCalc.CoGilCalc.gCalc("S_E_CFS_ENDCASHEQUI",$A$2,TEXT(D$3,"yyyy-mm-dd"),D$5)/unit</f>
        <v>113930.655767</v>
      </c>
      <c r="E200" s="117">
        <f>_xll.GilCalc.CoGilCalc.gCalc("S_E_CFS_ENDCASHEQUI",$A$2,TEXT(E$3,"yyyy-mm-dd"),E$5)/unit</f>
        <v>85337.131435000003</v>
      </c>
      <c r="F200" s="117">
        <f>_xll.GilCalc.CoGilCalc.gCalc("S_E_CFS_ENDCASHEQUI",$A$2,TEXT(F$3,"yyyy-mm-dd"),F$5)/unit</f>
        <v>132762.561304</v>
      </c>
      <c r="G200" s="117">
        <f>_xll.GilCalc.CoGilCalc.gCalc("S_E_CFS_ENDCASHEQUI",$A$2,TEXT(G$3,"yyyy-mm-dd"),G$5)/unit</f>
        <v>82407.915145999999</v>
      </c>
    </row>
    <row r="201" spans="1:7" ht="17.25" x14ac:dyDescent="0.35">
      <c r="A201" s="92"/>
      <c r="B201" s="93"/>
      <c r="C201"/>
      <c r="D201"/>
      <c r="E201"/>
      <c r="F201"/>
      <c r="G201"/>
    </row>
    <row r="202" spans="1:7" ht="17.25" x14ac:dyDescent="0.35">
      <c r="A202" s="92"/>
      <c r="B202" s="93"/>
      <c r="C202" s="93"/>
      <c r="D202" s="93"/>
      <c r="E202" s="93"/>
    </row>
    <row r="203" spans="1:7" ht="17.25" x14ac:dyDescent="0.35">
      <c r="A203" s="92"/>
      <c r="B203" s="93"/>
      <c r="C203" s="93"/>
      <c r="D203" s="93"/>
      <c r="E203" s="93"/>
    </row>
    <row r="204" spans="1:7" ht="17.25" x14ac:dyDescent="0.35">
      <c r="A204" s="92"/>
      <c r="B204" s="93"/>
      <c r="C204" s="93"/>
      <c r="D204" s="93"/>
      <c r="E204" s="93"/>
    </row>
    <row r="205" spans="1:7" ht="17.25" x14ac:dyDescent="0.35">
      <c r="A205" s="92"/>
      <c r="B205" s="93"/>
      <c r="C205" s="93"/>
      <c r="D205" s="93"/>
      <c r="E205" s="93"/>
    </row>
    <row r="206" spans="1:7" ht="17.25" x14ac:dyDescent="0.35">
      <c r="A206" s="92"/>
      <c r="B206" s="93"/>
      <c r="C206" s="93"/>
      <c r="D206" s="93"/>
      <c r="E206" s="93"/>
    </row>
    <row r="207" spans="1:7" ht="17.25" x14ac:dyDescent="0.35">
      <c r="A207" s="94"/>
      <c r="B207" s="93"/>
      <c r="C207" s="93"/>
      <c r="D207" s="93"/>
      <c r="E207" s="93"/>
    </row>
    <row r="208" spans="1:7" ht="17.25" x14ac:dyDescent="0.35">
      <c r="A208" s="92"/>
      <c r="B208" s="93"/>
      <c r="C208" s="93"/>
      <c r="D208" s="93"/>
      <c r="E208" s="93"/>
    </row>
    <row r="209" spans="1:5" ht="17.25" x14ac:dyDescent="0.35">
      <c r="A209" s="94"/>
      <c r="B209" s="93"/>
      <c r="C209" s="93"/>
      <c r="D209" s="93"/>
      <c r="E209" s="93"/>
    </row>
    <row r="210" spans="1:5" ht="17.25" x14ac:dyDescent="0.35">
      <c r="A210" s="92"/>
      <c r="B210" s="93"/>
      <c r="C210" s="93"/>
      <c r="D210" s="93"/>
      <c r="E210" s="93"/>
    </row>
    <row r="211" spans="1:5" ht="17.25" x14ac:dyDescent="0.35">
      <c r="A211" s="92"/>
      <c r="B211" s="93"/>
      <c r="C211" s="93"/>
      <c r="D211" s="93"/>
      <c r="E211" s="93"/>
    </row>
    <row r="212" spans="1:5" ht="17.25" x14ac:dyDescent="0.35">
      <c r="A212" s="92"/>
      <c r="B212" s="93"/>
      <c r="C212" s="93"/>
      <c r="D212" s="93"/>
      <c r="E212" s="93"/>
    </row>
    <row r="213" spans="1:5" ht="17.25" x14ac:dyDescent="0.35">
      <c r="A213" s="94"/>
      <c r="B213" s="93"/>
      <c r="C213" s="93"/>
      <c r="D213" s="93"/>
      <c r="E213" s="93"/>
    </row>
    <row r="214" spans="1:5" ht="17.25" x14ac:dyDescent="0.35">
      <c r="A214" s="92"/>
      <c r="B214" s="93"/>
      <c r="C214" s="93"/>
      <c r="D214" s="93"/>
      <c r="E214" s="93"/>
    </row>
    <row r="215" spans="1:5" ht="17.25" x14ac:dyDescent="0.35">
      <c r="A215" s="92"/>
      <c r="B215" s="93"/>
      <c r="C215" s="93"/>
      <c r="D215" s="93"/>
      <c r="E215" s="93"/>
    </row>
    <row r="216" spans="1:5" ht="17.25" x14ac:dyDescent="0.35">
      <c r="A216" s="92"/>
      <c r="B216" s="93"/>
      <c r="C216" s="93"/>
      <c r="D216" s="93"/>
      <c r="E216" s="93"/>
    </row>
    <row r="217" spans="1:5" ht="17.25" x14ac:dyDescent="0.35">
      <c r="A217" s="92"/>
      <c r="B217" s="93"/>
      <c r="C217" s="93"/>
      <c r="D217" s="93"/>
      <c r="E217" s="93"/>
    </row>
    <row r="218" spans="1:5" ht="17.25" x14ac:dyDescent="0.35">
      <c r="A218" s="92"/>
      <c r="B218" s="93"/>
      <c r="C218" s="93"/>
      <c r="D218" s="93"/>
      <c r="E218" s="93"/>
    </row>
    <row r="219" spans="1:5" ht="17.25" x14ac:dyDescent="0.35">
      <c r="A219" s="92"/>
      <c r="B219" s="93"/>
      <c r="C219" s="93"/>
      <c r="D219" s="93"/>
      <c r="E219" s="93"/>
    </row>
    <row r="220" spans="1:5" ht="17.25" x14ac:dyDescent="0.35">
      <c r="A220" s="92"/>
      <c r="B220" s="93"/>
      <c r="C220" s="93"/>
      <c r="D220" s="93"/>
      <c r="E220" s="93"/>
    </row>
  </sheetData>
  <phoneticPr fontId="18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17"/>
  <sheetViews>
    <sheetView showGridLines="0" workbookViewId="0">
      <selection activeCell="A26" sqref="A26"/>
    </sheetView>
  </sheetViews>
  <sheetFormatPr defaultRowHeight="13.5" x14ac:dyDescent="0.15"/>
  <cols>
    <col min="1" max="1" width="23" style="2" customWidth="1"/>
    <col min="2" max="2" width="34.75" hidden="1" customWidth="1"/>
    <col min="3" max="3" width="11" hidden="1" customWidth="1"/>
    <col min="4" max="7" width="15.125" customWidth="1"/>
    <col min="10" max="10" width="21.375" bestFit="1" customWidth="1"/>
    <col min="12" max="14" width="9" style="1"/>
  </cols>
  <sheetData>
    <row r="1" spans="1:13" ht="15" x14ac:dyDescent="0.25">
      <c r="A1" s="21" t="str">
        <f>StockCode</f>
        <v>603888.SH</v>
      </c>
      <c r="B1" s="22" t="s">
        <v>2</v>
      </c>
      <c r="C1" s="23" t="s">
        <v>11</v>
      </c>
      <c r="D1" s="24">
        <f>IF(LEN(杜邦分析指标!B2)&gt;0,DATE(YEAR(杜邦分析指标!B2)-1,MONTH(杜邦分析指标!B2),DAY(杜邦分析指标!B2)),"")</f>
        <v>42369</v>
      </c>
      <c r="E1" s="24">
        <f>IF(LEN(杜邦分析指标!C2)&gt;0,DATE(YEAR(杜邦分析指标!C2)-1,MONTH(杜邦分析指标!C2),DAY(杜邦分析指标!C2)),"")</f>
        <v>42460</v>
      </c>
      <c r="F1" s="24">
        <f>IF(LEN(杜邦分析指标!D2)&gt;0,DATE(YEAR(杜邦分析指标!D2)-1,MONTH(杜邦分析指标!D2),DAY(杜邦分析指标!D2)),"")</f>
        <v>42551</v>
      </c>
      <c r="G1" s="25">
        <f>IF(LEN(杜邦分析指标!E2)&gt;0,DATE(YEAR(杜邦分析指标!E2)-1,MONTH(杜邦分析指标!E2),DAY(杜邦分析指标!E2)),"")</f>
        <v>42643</v>
      </c>
      <c r="L1" s="13"/>
      <c r="M1" s="13"/>
    </row>
    <row r="2" spans="1:13" ht="14.25" x14ac:dyDescent="0.2">
      <c r="A2" s="20" t="s">
        <v>12</v>
      </c>
      <c r="B2" s="26"/>
      <c r="C2" s="26"/>
      <c r="D2" s="27">
        <f>IF(LEN(D1)&gt;0,_xll.GilCalc.CoGilCalc.gCalc("S_FA_DUPONT_ROE",StockCode,TEXT(D1,"yyyy-mm-dd"))/100,"")</f>
        <v>0.27780110550704473</v>
      </c>
      <c r="E2" s="27">
        <f>IF(LEN(E1)&gt;0,_xll.GilCalc.CoGilCalc.gCalc("S_FA_DUPONT_ROE",StockCode,TEXT(E1,"yyyy-mm-dd"))/100,"")</f>
        <v>0</v>
      </c>
      <c r="F2" s="27">
        <f>IF(LEN(F1)&gt;0,_xll.GilCalc.CoGilCalc.gCalc("S_FA_DUPONT_ROE",StockCode,TEXT(F1,"yyyy-mm-dd"))/100,"")</f>
        <v>9.2654276987996623E-2</v>
      </c>
      <c r="G2" s="28">
        <f>IF(LEN(G1)&gt;0,_xll.GilCalc.CoGilCalc.gCalc("S_FA_DUPONT_ROE",StockCode,TEXT(G1,"yyyy-mm-dd"))/100,"")</f>
        <v>0.14391708122330399</v>
      </c>
      <c r="J2" s="3"/>
      <c r="L2" s="13"/>
    </row>
    <row r="3" spans="1:13" ht="14.25" x14ac:dyDescent="0.2">
      <c r="A3" s="20" t="s">
        <v>13</v>
      </c>
      <c r="B3" s="29"/>
      <c r="C3" s="29"/>
      <c r="D3" s="30">
        <f>IFERROR(IF(LEN(D1)&gt;0,_xll.GilCalc.CoGilCalc.gCalc("S_E_IS_GROSSCOST",StockCode,TEXT(D1,"yyyy-mm-dd"),D22)/_xll.GilCalc.CoGilCalc.gCalc("S_E_BS_TOTALASSETS",StockCode,TEXT(D1,"yyyy-mm-dd"),D22),""),0)</f>
        <v>0.42374456453747261</v>
      </c>
      <c r="E3" s="30">
        <f>IFERROR(IF(LEN(E1)&gt;0,_xll.GilCalc.CoGilCalc.gCalc("S_E_IS_GROSSCOST",StockCode,TEXT(E1,"yyyy-mm-dd"),E22)/_xll.GilCalc.CoGilCalc.gCalc("S_E_BS_TOTALASSETS",StockCode,TEXT(E1,"yyyy-mm-dd"),E22),""),0)</f>
        <v>0</v>
      </c>
      <c r="F3" s="30">
        <f>IFERROR(IF(LEN(F1)&gt;0,_xll.GilCalc.CoGilCalc.gCalc("S_E_IS_GROSSCOST",StockCode,TEXT(F1,"yyyy-mm-dd"),F22)/_xll.GilCalc.CoGilCalc.gCalc("S_E_BS_TOTALASSETS",StockCode,TEXT(F1,"yyyy-mm-dd"),F22),""),0)</f>
        <v>0</v>
      </c>
      <c r="G3" s="31">
        <f>IFERROR(IF(LEN(G1)&gt;0,_xll.GilCalc.CoGilCalc.gCalc("S_E_IS_GROSSCOST",StockCode,TEXT(G1,"yyyy-mm-dd"),G22)/_xll.GilCalc.CoGilCalc.gCalc("S_E_BS_TOTALASSETS",StockCode,TEXT(G1,"yyyy-mm-dd"),G22),""),0)</f>
        <v>0</v>
      </c>
      <c r="J3" s="3"/>
      <c r="L3" s="13"/>
    </row>
    <row r="4" spans="1:13" ht="14.25" x14ac:dyDescent="0.2">
      <c r="A4" s="20" t="s">
        <v>14</v>
      </c>
      <c r="B4" s="29"/>
      <c r="C4" s="29"/>
      <c r="D4" s="30">
        <f>IF(LEN(D1)&gt;0,_xll.GilCalc.CoGilCalc.gCalc("S_FA_DUPONT_ASSETSTOEQUITY",StockCode,TEXT(D1,"yyyy-mm-dd")),"")</f>
        <v>1.6525535286233906</v>
      </c>
      <c r="E4" s="30">
        <f>IF(LEN(E1)&gt;0,_xll.GilCalc.CoGilCalc.gCalc("S_FA_DUPONT_ASSETSTOEQUITY",StockCode,TEXT(E1,"yyyy-mm-dd")),"")</f>
        <v>0</v>
      </c>
      <c r="F4" s="30">
        <f>IF(LEN(F1)&gt;0,_xll.GilCalc.CoGilCalc.gCalc("S_FA_DUPONT_ASSETSTOEQUITY",StockCode,TEXT(F1,"yyyy-mm-dd")),"")</f>
        <v>1.6213817353962092</v>
      </c>
      <c r="G4" s="31">
        <f>IF(LEN(G1)&gt;0,_xll.GilCalc.CoGilCalc.gCalc("S_FA_DUPONT_ASSETSTOEQUITY",StockCode,TEXT(G1,"yyyy-mm-dd")),"")</f>
        <v>1.6363459634668625</v>
      </c>
      <c r="J4" s="3"/>
      <c r="L4" s="13"/>
    </row>
    <row r="5" spans="1:13" ht="14.25" x14ac:dyDescent="0.2">
      <c r="A5" s="20" t="s">
        <v>15</v>
      </c>
      <c r="B5" s="29"/>
      <c r="C5" s="29"/>
      <c r="D5" s="30">
        <f>IF(LEN(D1)&gt;0,_xll.GilCalc.CoGilCalc.gCalc("S_FA_DUPONT_NETPROFITMARGIN",StockCode,TEXT(D1,"yyyy-mm-dd"))/100,"")</f>
        <v>0.26207155507973845</v>
      </c>
      <c r="E5" s="30">
        <f>IF(LEN(E1)&gt;0,_xll.GilCalc.CoGilCalc.gCalc("S_FA_DUPONT_NETPROFITMARGIN",StockCode,TEXT(E1,"yyyy-mm-dd"))/100,"")</f>
        <v>0</v>
      </c>
      <c r="F5" s="30">
        <f>IF(LEN(F1)&gt;0,_xll.GilCalc.CoGilCalc.gCalc("S_FA_DUPONT_NETPROFITMARGIN",StockCode,TEXT(F1,"yyyy-mm-dd"))/100,"")</f>
        <v>0.1920243235831581</v>
      </c>
      <c r="G5" s="31">
        <f>IF(LEN(G1)&gt;0,_xll.GilCalc.CoGilCalc.gCalc("S_FA_DUPONT_NETPROFITMARGIN",StockCode,TEXT(G1,"yyyy-mm-dd"))/100,"")</f>
        <v>0.20226761917650546</v>
      </c>
      <c r="J5" s="3"/>
      <c r="L5" s="13"/>
    </row>
    <row r="6" spans="1:13" ht="14.25" x14ac:dyDescent="0.2">
      <c r="A6" s="20" t="s">
        <v>16</v>
      </c>
      <c r="B6" s="29"/>
      <c r="C6" s="29"/>
      <c r="D6" s="30">
        <f>IF(LEN(D1)&gt;0,_xll.GilCalc.CoGilCalc.gCalc("S_FA_DUPONT_ASSETSTURN",StockCode,TEXT(D1,"yyyy-mm-dd"))+0,"")</f>
        <v>0.63921137839755982</v>
      </c>
      <c r="E6" s="30">
        <f>IF(LEN(E1)&gt;0,_xll.GilCalc.CoGilCalc.gCalc("S_FA_DUPONT_ASSETSTURN",StockCode,TEXT(E1,"yyyy-mm-dd"))+0,"")</f>
        <v>0</v>
      </c>
      <c r="F6" s="30">
        <f>IF(LEN(F1)&gt;0,_xll.GilCalc.CoGilCalc.gCalc("S_FA_DUPONT_ASSETSTURN",StockCode,TEXT(F1,"yyyy-mm-dd"))+0,"")</f>
        <v>0.29759384938862626</v>
      </c>
      <c r="G6" s="31">
        <f>IF(LEN(G1)&gt;0,_xll.GilCalc.CoGilCalc.gCalc("S_FA_DUPONT_ASSETSTURN",StockCode,TEXT(G1,"yyyy-mm-dd"))+0,"")</f>
        <v>0.43482134038270326</v>
      </c>
      <c r="J6" s="3"/>
    </row>
    <row r="7" spans="1:13" ht="14.25" x14ac:dyDescent="0.2">
      <c r="A7" s="20" t="s">
        <v>17</v>
      </c>
      <c r="B7" s="29"/>
      <c r="C7" s="29"/>
      <c r="D7" s="30">
        <f>IF(LEN(D1)&gt;0,_xll.GilCalc.CoGilCalc.gCalc("S_FA_DEBTTOASSETS",StockCode,TEXT(D1,"yyyy-mm-dd"))/100,"")</f>
        <v>0.39573853090577643</v>
      </c>
      <c r="E7" s="30">
        <f>IF(LEN(E1)&gt;0,_xll.GilCalc.CoGilCalc.gCalc("S_FA_DEBTTOASSETS",StockCode,TEXT(E1,"yyyy-mm-dd"))/100,"")</f>
        <v>0</v>
      </c>
      <c r="F7" s="30">
        <f>IF(LEN(F1)&gt;0,_xll.GilCalc.CoGilCalc.gCalc("S_FA_DEBTTOASSETS",StockCode,TEXT(F1,"yyyy-mm-dd"))/100,"")</f>
        <v>0.37109646562700499</v>
      </c>
      <c r="G7" s="31">
        <f>IF(LEN(G1)&gt;0,_xll.GilCalc.CoGilCalc.gCalc("S_FA_DEBTTOASSETS",StockCode,TEXT(G1,"yyyy-mm-dd"))/100,"")</f>
        <v>0.38249951900218782</v>
      </c>
      <c r="J7" s="3"/>
    </row>
    <row r="8" spans="1:13" ht="14.25" x14ac:dyDescent="0.2">
      <c r="A8" s="20" t="s">
        <v>18</v>
      </c>
      <c r="B8" s="29"/>
      <c r="C8" s="29"/>
      <c r="D8" s="30">
        <f>IFERROR(D9/D10,0)</f>
        <v>1.0034923152888882</v>
      </c>
      <c r="E8" s="30">
        <f t="shared" ref="E8:G8" si="0">IFERROR(E9/E10,0)</f>
        <v>1</v>
      </c>
      <c r="F8" s="30">
        <f t="shared" si="0"/>
        <v>1</v>
      </c>
      <c r="G8" s="30">
        <f t="shared" si="0"/>
        <v>1</v>
      </c>
      <c r="J8" s="3"/>
    </row>
    <row r="9" spans="1:13" ht="14.25" x14ac:dyDescent="0.2">
      <c r="A9" s="20" t="s">
        <v>19</v>
      </c>
      <c r="B9" s="29"/>
      <c r="C9" s="29"/>
      <c r="D9" s="30">
        <f>_xll.GilCalc.CoGilCalc.gCalc("S_E_IS_NPPARENT",StockCode,TEXT(D$1,"yyyy-mm-dd"),D22)/unit</f>
        <v>26233.815253999997</v>
      </c>
      <c r="E9" s="30">
        <f>_xll.GilCalc.CoGilCalc.gCalc("S_E_IS_NPPARENT",StockCode,TEXT(E$1,"yyyy-mm-dd"),E22)/unit</f>
        <v>1916.1436620000002</v>
      </c>
      <c r="F9" s="30">
        <f>_xll.GilCalc.CoGilCalc.gCalc("S_E_IS_NPPARENT",StockCode,TEXT(F$1,"yyyy-mm-dd"),F22)/unit</f>
        <v>10219.218026</v>
      </c>
      <c r="G9" s="30">
        <f>_xll.GilCalc.CoGilCalc.gCalc("S_E_IS_NPPARENT",StockCode,TEXT(G$1,"yyyy-mm-dd"),G22)/unit</f>
        <v>16079.185638999999</v>
      </c>
      <c r="J9" s="3"/>
    </row>
    <row r="10" spans="1:13" ht="14.25" x14ac:dyDescent="0.2">
      <c r="A10" s="20" t="s">
        <v>20</v>
      </c>
      <c r="B10" s="29"/>
      <c r="C10" s="29"/>
      <c r="D10" s="30">
        <f>IF(LEN(D1)&gt;0,_xll.GilCalc.CoGilCalc.gCalc("S_E_IS_NETPROFIT",StockCode,TEXT(D1,"yyyy-mm-dd"),D22)/unit,"")</f>
        <v>26142.517340999999</v>
      </c>
      <c r="E10" s="30">
        <f>IF(LEN(E1)&gt;0,_xll.GilCalc.CoGilCalc.gCalc("S_E_IS_NETPROFIT",StockCode,TEXT(E1,"yyyy-mm-dd"),E22)/unit,"")</f>
        <v>1916.1436620000002</v>
      </c>
      <c r="F10" s="30">
        <f>IF(LEN(F1)&gt;0,_xll.GilCalc.CoGilCalc.gCalc("S_E_IS_NETPROFIT",StockCode,TEXT(F1,"yyyy-mm-dd"),F22)/unit,"")</f>
        <v>10219.218026</v>
      </c>
      <c r="G10" s="31">
        <f>IF(LEN(G1)&gt;0,_xll.GilCalc.CoGilCalc.gCalc("S_E_IS_NETPROFIT",StockCode,TEXT(G1,"yyyy-mm-dd"),G22)/unit,"")</f>
        <v>16079.185638999999</v>
      </c>
      <c r="J10" s="3"/>
    </row>
    <row r="11" spans="1:13" ht="14.25" x14ac:dyDescent="0.2">
      <c r="A11" s="20" t="s">
        <v>21</v>
      </c>
      <c r="B11" s="29"/>
      <c r="C11" s="29"/>
      <c r="D11" s="30">
        <f>IF(LEN(D1)&gt;0,_xll.GilCalc.CoGilCalc.gCalc("S_E_IS_GROSSREVENUE",StockCode,TEXT(D1,"yyyy-mm-dd"),D22)/unit,"")</f>
        <v>99753.356799999994</v>
      </c>
      <c r="E11" s="30">
        <f>IF(LEN(E1)&gt;0,_xll.GilCalc.CoGilCalc.gCalc("S_E_IS_GROSSREVENUE",StockCode,TEXT(E1,"yyyy-mm-dd"),E22)/unit,"")</f>
        <v>16892.077849000001</v>
      </c>
      <c r="F11" s="30">
        <f>IF(LEN(F1)&gt;0,_xll.GilCalc.CoGilCalc.gCalc("S_E_IS_GROSSREVENUE",StockCode,TEXT(F1,"yyyy-mm-dd"),F22)/unit,"")</f>
        <v>53218.351901000002</v>
      </c>
      <c r="G11" s="31">
        <f>IF(LEN(G1)&gt;0,_xll.GilCalc.CoGilCalc.gCalc("S_E_IS_GROSSREVENUE",StockCode,TEXT(G1,"yyyy-mm-dd"),G22)/unit,"")</f>
        <v>79494.610677000004</v>
      </c>
      <c r="J11" s="3"/>
    </row>
    <row r="12" spans="1:13" ht="14.25" x14ac:dyDescent="0.2">
      <c r="A12" s="20" t="s">
        <v>22</v>
      </c>
      <c r="B12" s="29"/>
      <c r="C12" s="29"/>
      <c r="D12" s="30">
        <f>IF(LEN(D1)&gt;0,((_xll.GilCalc.CoGilCalc.gCalc("S_E_BS_TOTALASSETS",StockCode,YEAR(TEXT(D1,"yyyy-mm-dd"))-1&amp;"-12-31",D22)+_xll.GilCalc.CoGilCalc.gCalc("S_E_BS_TOTALASSETS",StockCode,TEXT(D1,"yyyy-mm-dd"),D22))/2)/unit,"")</f>
        <v>88141.500969500004</v>
      </c>
      <c r="E12" s="30">
        <f>IF(LEN(E1)&gt;0,((_xll.GilCalc.CoGilCalc.gCalc("S_E_BS_TOTALASSETS",StockCode,YEAR(TEXT(E1,"yyyy-mm-dd"))-1&amp;"-12-31",E22)+_xll.GilCalc.CoGilCalc.gCalc("S_E_BS_TOTALASSETS",StockCode,TEXT(E1,"yyyy-mm-dd"),E22))/2)/unit,"")</f>
        <v>88141.500969500004</v>
      </c>
      <c r="F12" s="30">
        <f>IF(LEN(F1)&gt;0,((_xll.GilCalc.CoGilCalc.gCalc("S_E_BS_TOTALASSETS",StockCode,YEAR(TEXT(F1,"yyyy-mm-dd"))-1&amp;"-12-31",F22)+_xll.GilCalc.CoGilCalc.gCalc("S_E_BS_TOTALASSETS",StockCode,TEXT(F1,"yyyy-mm-dd"),F22))/2)/unit,"")</f>
        <v>88141.500969500004</v>
      </c>
      <c r="G12" s="31">
        <f>IF(LEN(G1)&gt;0,((_xll.GilCalc.CoGilCalc.gCalc("S_E_BS_TOTALASSETS",StockCode,YEAR(TEXT(G1,"yyyy-mm-dd"))-1&amp;"-12-31",G22)+_xll.GilCalc.CoGilCalc.gCalc("S_E_BS_TOTALASSETS",StockCode,TEXT(G1,"yyyy-mm-dd"),G22))/2)/unit,"")</f>
        <v>88141.500969500004</v>
      </c>
      <c r="J12" s="3"/>
    </row>
    <row r="13" spans="1:13" ht="14.25" x14ac:dyDescent="0.2">
      <c r="A13" s="20" t="s">
        <v>23</v>
      </c>
      <c r="B13" s="29"/>
      <c r="C13" s="29"/>
      <c r="D13" s="30">
        <f>IF(LEN(D1)&gt;0,_xll.GilCalc.CoGilCalc.gCalc("S_E_BS_TOTALLIABILITY",StockCode,TEXT(D1,"yyyy-mm-dd"),D23)/unit,"")</f>
        <v>69761.976211000001</v>
      </c>
      <c r="E13" s="30">
        <f>IF(LEN(E1)&gt;0,_xll.GilCalc.CoGilCalc.gCalc("S_E_BS_TOTALLIABILITY",StockCode,TEXT(E1,"yyyy-mm-dd"),E23)/unit,"")</f>
        <v>0</v>
      </c>
      <c r="F13" s="30">
        <f>IF(LEN(F1)&gt;0,_xll.GilCalc.CoGilCalc.gCalc("S_E_BS_TOTALLIABILITY",StockCode,TEXT(F1,"yyyy-mm-dd"),F23)/unit,"")</f>
        <v>67307.474608000004</v>
      </c>
      <c r="G13" s="31">
        <f>IF(LEN(G1)&gt;0,_xll.GilCalc.CoGilCalc.gCalc("S_E_BS_TOTALLIABILITY",StockCode,TEXT(G1,"yyyy-mm-dd"),G23)/unit,"")</f>
        <v>72429.969182000001</v>
      </c>
      <c r="J13" s="3"/>
    </row>
    <row r="14" spans="1:13" ht="14.25" x14ac:dyDescent="0.2">
      <c r="A14" s="20" t="s">
        <v>24</v>
      </c>
      <c r="B14" s="29"/>
      <c r="C14" s="29"/>
      <c r="D14" s="30">
        <f>IF(LEN(D1)&gt;0,_xll.GilCalc.CoGilCalc.gCalc("S_E_BS_TOTALASSETS",StockCode,TEXT(D1,"yyyy-mm-dd"),D23)/unit,"")</f>
        <v>176283.00193900001</v>
      </c>
      <c r="E14" s="30">
        <f>IF(LEN(E1)&gt;0,_xll.GilCalc.CoGilCalc.gCalc("S_E_BS_TOTALASSETS",StockCode,TEXT(E1,"yyyy-mm-dd"),E23)/unit,"")</f>
        <v>0</v>
      </c>
      <c r="F14" s="30">
        <f>IF(LEN(F1)&gt;0,_xll.GilCalc.CoGilCalc.gCalc("S_E_BS_TOTALASSETS",StockCode,TEXT(F1,"yyyy-mm-dd"),F23)/unit,"")</f>
        <v>181374.60429400002</v>
      </c>
      <c r="G14" s="31">
        <f>IF(LEN(G1)&gt;0,_xll.GilCalc.CoGilCalc.gCalc("S_E_BS_TOTALASSETS",StockCode,TEXT(G1,"yyyy-mm-dd"),G23)/unit,"")</f>
        <v>189359.63467599999</v>
      </c>
      <c r="J14" s="3"/>
    </row>
    <row r="15" spans="1:13" ht="14.25" x14ac:dyDescent="0.2">
      <c r="A15" s="20" t="s">
        <v>25</v>
      </c>
      <c r="B15" s="29"/>
      <c r="C15" s="29"/>
      <c r="D15" s="30">
        <f>IF(LEN(D1)&gt;0,_xll.GilCalc.CoGilCalc.gCalc("S_E_IS_GROSSCOST",StockCode,TEXT(D1,"yyyy-mm-dd"),D22)/unit,"")</f>
        <v>74698.963892</v>
      </c>
      <c r="E15" s="30">
        <f>IF(LEN(E1)&gt;0,_xll.GilCalc.CoGilCalc.gCalc("S_E_IS_GROSSCOST",StockCode,TEXT(E1,"yyyy-mm-dd"),E22)/unit,"")</f>
        <v>15086.327369000001</v>
      </c>
      <c r="F15" s="30">
        <f>IF(LEN(F1)&gt;0,_xll.GilCalc.CoGilCalc.gCalc("S_E_IS_GROSSCOST",StockCode,TEXT(F1,"yyyy-mm-dd"),F22)/unit,"")</f>
        <v>42934.176291000003</v>
      </c>
      <c r="G15" s="31">
        <f>IF(LEN(G1)&gt;0,_xll.GilCalc.CoGilCalc.gCalc("S_E_IS_GROSSCOST",StockCode,TEXT(G1,"yyyy-mm-dd"),G22)/unit,"")</f>
        <v>63169.317529999993</v>
      </c>
      <c r="J15" s="3"/>
    </row>
    <row r="16" spans="1:13" ht="14.25" x14ac:dyDescent="0.2">
      <c r="A16" s="20" t="s">
        <v>26</v>
      </c>
      <c r="B16" s="29"/>
      <c r="C16" s="29"/>
      <c r="D16" s="30">
        <f>IF(LEN(D1)&gt;0,(_xll.GilCalc.CoGilCalc.gCalc("S_E_IS_GROSSCOST",StockCode,TEXT(D1,"yyyy-mm-dd"),D22)+_xll.GilCalc.CoGilCalc.gCalc("S_E_IS_TOTALPROFIT",StockCode,TEXT(D1,"yyyy-mm-dd"),D22)-_xll.GilCalc.CoGilCalc.gCalc("S_E_IS_GROSSREVENUE",StockCode,TEXT(D1,"yyyy-mm-dd"),D22))/unit,"")</f>
        <v>1088.1244329999925</v>
      </c>
      <c r="E16" s="30">
        <f>IF(LEN(E1)&gt;0,(_xll.GilCalc.CoGilCalc.gCalc("S_E_IS_GROSSCOST",StockCode,TEXT(E1,"yyyy-mm-dd"),E22)+_xll.GilCalc.CoGilCalc.gCalc("S_E_IS_TOTALPROFIT",StockCode,TEXT(E1,"yyyy-mm-dd"),E22)-_xll.GilCalc.CoGilCalc.gCalc("S_E_IS_GROSSREVENUE",StockCode,TEXT(E1,"yyyy-mm-dd"),E22))/unit,"")</f>
        <v>110.39318199999929</v>
      </c>
      <c r="F16" s="30">
        <f>IF(LEN(F1)&gt;0,(_xll.GilCalc.CoGilCalc.gCalc("S_E_IS_GROSSCOST",StockCode,TEXT(F1,"yyyy-mm-dd"),F22)+_xll.GilCalc.CoGilCalc.gCalc("S_E_IS_TOTALPROFIT",StockCode,TEXT(F1,"yyyy-mm-dd"),F22)-_xll.GilCalc.CoGilCalc.gCalc("S_E_IS_GROSSREVENUE",StockCode,TEXT(F1,"yyyy-mm-dd"),F22))/unit,"")</f>
        <v>-64.957583999997382</v>
      </c>
      <c r="G16" s="31">
        <f>IF(LEN(G1)&gt;0,(_xll.GilCalc.CoGilCalc.gCalc("S_E_IS_GROSSCOST",StockCode,TEXT(G1,"yyyy-mm-dd"),G22)+_xll.GilCalc.CoGilCalc.gCalc("S_E_IS_TOTALPROFIT",StockCode,TEXT(G1,"yyyy-mm-dd"),G22)-_xll.GilCalc.CoGilCalc.gCalc("S_E_IS_GROSSREVENUE",StockCode,TEXT(G1,"yyyy-mm-dd"),G22))/unit,"")</f>
        <v>-246.10750800000429</v>
      </c>
      <c r="J16" s="3"/>
    </row>
    <row r="17" spans="1:10" ht="14.25" x14ac:dyDescent="0.2">
      <c r="A17" s="20" t="s">
        <v>27</v>
      </c>
      <c r="B17" s="29"/>
      <c r="C17" s="29"/>
      <c r="D17" s="30">
        <f>IF(LEN(D1)&gt;0,_xll.GilCalc.CoGilCalc.gCalc("S_E_IS_TAXCOST",StockCode,TEXT(D1,"yyyy-mm-dd"),D22)/unit,"")</f>
        <v>0</v>
      </c>
      <c r="E17" s="30">
        <f>IF(LEN(E1)&gt;0,_xll.GilCalc.CoGilCalc.gCalc("S_E_IS_TAXCOST",StockCode,TEXT(E1,"yyyy-mm-dd"),E22)/unit,"")</f>
        <v>0</v>
      </c>
      <c r="F17" s="30">
        <f>IF(LEN(F1)&gt;0,_xll.GilCalc.CoGilCalc.gCalc("S_E_IS_TAXCOST",StockCode,TEXT(F1,"yyyy-mm-dd"),F22)/unit,"")</f>
        <v>0</v>
      </c>
      <c r="G17" s="31">
        <f>IF(LEN(G1)&gt;0,_xll.GilCalc.CoGilCalc.gCalc("S_E_IS_TAXCOST",StockCode,TEXT(G1,"yyyy-mm-dd"),G22)/unit,"")</f>
        <v>0</v>
      </c>
      <c r="J17" s="3"/>
    </row>
    <row r="18" spans="1:10" ht="14.25" x14ac:dyDescent="0.2">
      <c r="A18" s="20" t="s">
        <v>28</v>
      </c>
      <c r="B18" s="29"/>
      <c r="C18" s="29"/>
      <c r="D18" s="30">
        <f>IF(LEN(D1)&gt;0,_xll.GilCalc.CoGilCalc.gCalc("S_E_BS_TOTALCURRLIABILITY",StockCode,TEXT(D1,"yyyy-mm-dd"),D23)/unit,"")</f>
        <v>27610.456164999996</v>
      </c>
      <c r="E18" s="30">
        <f>IF(LEN(E1)&gt;0,_xll.GilCalc.CoGilCalc.gCalc("S_E_BS_TOTALCURRLIABILITY",StockCode,TEXT(E1,"yyyy-mm-dd"),E23)/unit,"")</f>
        <v>0</v>
      </c>
      <c r="F18" s="30">
        <f>IF(LEN(F1)&gt;0,_xll.GilCalc.CoGilCalc.gCalc("S_E_BS_TOTALCURRLIABILITY",StockCode,TEXT(F1,"yyyy-mm-dd"),F23)/unit,"")</f>
        <v>25121.054562000001</v>
      </c>
      <c r="G18" s="31">
        <f>IF(LEN(G1)&gt;0,_xll.GilCalc.CoGilCalc.gCalc("S_E_BS_TOTALCURRLIABILITY",StockCode,TEXT(G1,"yyyy-mm-dd"),G23)/unit,"")</f>
        <v>30276.099136000001</v>
      </c>
      <c r="J18" s="3"/>
    </row>
    <row r="19" spans="1:10" ht="14.25" x14ac:dyDescent="0.2">
      <c r="A19" s="20" t="s">
        <v>29</v>
      </c>
      <c r="B19" s="29"/>
      <c r="C19" s="29"/>
      <c r="D19" s="30">
        <f>IF(LEN(D1)&gt;0,_xll.GilCalc.CoGilCalc.gCalc("S_E_BS_TOTALNONCURRLIABILITY",StockCode,TEXT(D1,"yyyy-mm-dd"),D23)/unit,"")</f>
        <v>42151.520045999998</v>
      </c>
      <c r="E19" s="30">
        <f>IF(LEN(E1)&gt;0,_xll.GilCalc.CoGilCalc.gCalc("S_E_BS_TOTALNONCURRLIABILITY",StockCode,TEXT(E1,"yyyy-mm-dd"),E23)/unit,"")</f>
        <v>0</v>
      </c>
      <c r="F19" s="30">
        <f>IF(LEN(F1)&gt;0,_xll.GilCalc.CoGilCalc.gCalc("S_E_BS_TOTALNONCURRLIABILITY",StockCode,TEXT(F1,"yyyy-mm-dd"),F23)/unit,"")</f>
        <v>42186.420045999999</v>
      </c>
      <c r="G19" s="31">
        <f>IF(LEN(G1)&gt;0,_xll.GilCalc.CoGilCalc.gCalc("S_E_BS_TOTALNONCURRLIABILITY",StockCode,TEXT(G1,"yyyy-mm-dd"),G23)/unit,"")</f>
        <v>42153.870045999996</v>
      </c>
      <c r="J19" s="3"/>
    </row>
    <row r="20" spans="1:10" ht="14.25" x14ac:dyDescent="0.2">
      <c r="A20" s="20" t="s">
        <v>30</v>
      </c>
      <c r="B20" s="29"/>
      <c r="C20" s="29"/>
      <c r="D20" s="30">
        <f>IF(LEN(D1)&gt;0,_xll.GilCalc.CoGilCalc.gCalc("S_E_BS_TOTALCURRENTASSETS",StockCode,TEXT(D1,"yyyy-mm-dd"),D23)/unit,"")</f>
        <v>129502.05425599999</v>
      </c>
      <c r="E20" s="30">
        <f>IF(LEN(E1)&gt;0,_xll.GilCalc.CoGilCalc.gCalc("S_E_BS_TOTALCURRENTASSETS",StockCode,TEXT(E1,"yyyy-mm-dd"),E23)/unit,"")</f>
        <v>0</v>
      </c>
      <c r="F20" s="30">
        <f>IF(LEN(F1)&gt;0,_xll.GilCalc.CoGilCalc.gCalc("S_E_BS_TOTALCURRENTASSETS",StockCode,TEXT(F1,"yyyy-mm-dd"),F23)/unit,"")</f>
        <v>127131.723276</v>
      </c>
      <c r="G20" s="31">
        <f>IF(LEN(G1)&gt;0,_xll.GilCalc.CoGilCalc.gCalc("S_E_BS_TOTALCURRENTASSETS",StockCode,TEXT(G1,"yyyy-mm-dd"),G23)/unit,"")</f>
        <v>126243.69385899999</v>
      </c>
      <c r="J20" s="3"/>
    </row>
    <row r="21" spans="1:10" ht="14.25" x14ac:dyDescent="0.2">
      <c r="A21" s="20" t="s">
        <v>31</v>
      </c>
      <c r="B21" s="32"/>
      <c r="C21" s="32"/>
      <c r="D21" s="33">
        <f>IF(LEN(D1)&gt;0,_xll.GilCalc.CoGilCalc.gCalc("S_E_BS_TOTALNONCURASSETS",StockCode,TEXT(D1,"yyyy-mm-dd"),D23)/unit,"")</f>
        <v>46780.947682999999</v>
      </c>
      <c r="E21" s="33">
        <f>IF(LEN(E1)&gt;0,_xll.GilCalc.CoGilCalc.gCalc("S_E_BS_TOTALNONCURASSETS",StockCode,TEXT(E1,"yyyy-mm-dd"),E23)/unit,"")</f>
        <v>0</v>
      </c>
      <c r="F21" s="33">
        <f>IF(LEN(F1)&gt;0,_xll.GilCalc.CoGilCalc.gCalc("S_E_BS_TOTALNONCURASSETS",StockCode,TEXT(F1,"yyyy-mm-dd"),F23)/unit,"")</f>
        <v>54242.881017999993</v>
      </c>
      <c r="G21" s="34">
        <f>IF(LEN(G1)&gt;0,_xll.GilCalc.CoGilCalc.gCalc("S_E_BS_TOTALNONCURASSETS",StockCode,TEXT(G1,"yyyy-mm-dd"),G23)/unit,"")</f>
        <v>63115.940816999995</v>
      </c>
      <c r="J21" s="3"/>
    </row>
    <row r="22" spans="1:10" ht="15" x14ac:dyDescent="0.25">
      <c r="A22" s="35"/>
      <c r="B22" s="36"/>
      <c r="C22" s="37"/>
      <c r="D22" s="22">
        <f>IF(_xll.GilCalc.CoGilCalc.gCalc("S_E_IS_OPREVENUE",StockCode,TEXT(D$1,"yyyy-mm-dd"),1)=0,0,1)</f>
        <v>1</v>
      </c>
      <c r="E22" s="22">
        <f>IF(_xll.GilCalc.CoGilCalc.gCalc("S_E_IS_OPREVENUE",StockCode,TEXT(E$1,"yyyy-mm-dd"),1)=0,0,1)</f>
        <v>1</v>
      </c>
      <c r="F22" s="22">
        <f>IF(_xll.GilCalc.CoGilCalc.gCalc("S_E_IS_OPREVENUE",StockCode,TEXT(F$1,"yyyy-mm-dd"),1)=0,0,1)</f>
        <v>1</v>
      </c>
      <c r="G22" s="38">
        <f>IF(_xll.GilCalc.CoGilCalc.gCalc("S_E_IS_OPREVENUE",StockCode,TEXT(G$1,"yyyy-mm-dd"),1)=0,0,1)</f>
        <v>1</v>
      </c>
      <c r="J22" s="3"/>
    </row>
    <row r="23" spans="1:10" ht="15" x14ac:dyDescent="0.25">
      <c r="A23" s="39"/>
      <c r="B23" s="40"/>
      <c r="C23" s="41"/>
      <c r="D23" s="42">
        <f>IF(_xll.GilCalc.CoGilCalc.gCalc("S_E_BS_TOTALASSETS",StockCode,TEXT(D$1,"yyyy-mm-dd"),1)=0,0,1)</f>
        <v>1</v>
      </c>
      <c r="E23" s="42">
        <f>IF(_xll.GilCalc.CoGilCalc.gCalc("S_E_BS_TOTALASSETS",StockCode,TEXT(E$1,"yyyy-mm-dd"),1)=0,0,1)</f>
        <v>0</v>
      </c>
      <c r="F23" s="42">
        <f>IF(_xll.GilCalc.CoGilCalc.gCalc("S_E_BS_TOTALASSETS",StockCode,TEXT(F$1,"yyyy-mm-dd"),1)=0,0,1)</f>
        <v>0</v>
      </c>
      <c r="G23" s="43">
        <f>IF(_xll.GilCalc.CoGilCalc.gCalc("S_E_BS_TOTALASSETS",StockCode,TEXT(G$1,"yyyy-mm-dd"),1)=0,0,1)</f>
        <v>0</v>
      </c>
      <c r="J23" s="4"/>
    </row>
    <row r="24" spans="1:10" x14ac:dyDescent="0.15">
      <c r="A24" s="11"/>
      <c r="J24" s="3"/>
    </row>
    <row r="25" spans="1:10" x14ac:dyDescent="0.15">
      <c r="A25" s="11"/>
      <c r="J25" s="3"/>
    </row>
    <row r="26" spans="1:10" x14ac:dyDescent="0.15">
      <c r="A26" s="11"/>
      <c r="J26" s="3"/>
    </row>
    <row r="27" spans="1:10" ht="18" customHeight="1" x14ac:dyDescent="0.15">
      <c r="A27" s="11"/>
      <c r="J27" s="3"/>
    </row>
    <row r="28" spans="1:10" x14ac:dyDescent="0.15">
      <c r="A28" s="11"/>
      <c r="J28" s="3"/>
    </row>
    <row r="29" spans="1:10" x14ac:dyDescent="0.15">
      <c r="A29" s="11"/>
      <c r="B29" s="12"/>
      <c r="C29" s="11"/>
      <c r="J29" s="3"/>
    </row>
    <row r="30" spans="1:10" x14ac:dyDescent="0.15">
      <c r="A30" s="11"/>
      <c r="B30" s="12"/>
      <c r="C30" s="11"/>
      <c r="J30" s="3"/>
    </row>
    <row r="31" spans="1:10" x14ac:dyDescent="0.15">
      <c r="A31" s="11"/>
      <c r="B31" s="12"/>
      <c r="C31" s="11"/>
      <c r="J31" s="3"/>
    </row>
    <row r="32" spans="1:10" x14ac:dyDescent="0.15">
      <c r="A32" s="11"/>
      <c r="B32" s="12"/>
      <c r="C32" s="11"/>
      <c r="J32" s="3"/>
    </row>
    <row r="33" spans="1:10" x14ac:dyDescent="0.15">
      <c r="A33" s="11"/>
      <c r="B33" s="12"/>
      <c r="C33" s="11"/>
      <c r="J33" s="3"/>
    </row>
    <row r="34" spans="1:10" x14ac:dyDescent="0.15">
      <c r="A34" s="11"/>
      <c r="B34" s="18"/>
      <c r="C34" s="11"/>
      <c r="D34" s="1"/>
      <c r="E34" s="1"/>
      <c r="F34" s="1"/>
      <c r="J34" s="3"/>
    </row>
    <row r="35" spans="1:10" x14ac:dyDescent="0.15">
      <c r="A35" s="11"/>
      <c r="B35" s="18"/>
      <c r="C35" s="11"/>
      <c r="D35" s="1"/>
      <c r="E35" s="1"/>
      <c r="F35" s="1"/>
      <c r="J35" s="3"/>
    </row>
    <row r="36" spans="1:10" x14ac:dyDescent="0.15">
      <c r="A36" s="11"/>
      <c r="B36" s="18"/>
      <c r="C36" s="11"/>
      <c r="D36" s="1"/>
      <c r="E36" s="1"/>
      <c r="F36" s="1"/>
      <c r="J36" s="3"/>
    </row>
    <row r="37" spans="1:10" x14ac:dyDescent="0.15">
      <c r="A37" s="11"/>
      <c r="B37" s="18"/>
      <c r="C37" s="11"/>
      <c r="D37" s="1"/>
      <c r="E37" s="1"/>
      <c r="F37" s="1"/>
      <c r="J37" s="3"/>
    </row>
    <row r="38" spans="1:10" x14ac:dyDescent="0.15">
      <c r="A38" s="11"/>
      <c r="B38" s="18"/>
      <c r="C38" s="11"/>
      <c r="D38" s="1"/>
      <c r="E38" s="1"/>
      <c r="F38" s="1"/>
      <c r="J38" s="3"/>
    </row>
    <row r="39" spans="1:10" x14ac:dyDescent="0.15">
      <c r="A39" s="11"/>
      <c r="B39" s="18"/>
      <c r="C39" s="11"/>
      <c r="D39" s="1"/>
      <c r="E39" s="1"/>
      <c r="F39" s="1"/>
      <c r="J39" s="3"/>
    </row>
    <row r="40" spans="1:10" x14ac:dyDescent="0.15">
      <c r="A40" s="19"/>
      <c r="B40" s="1"/>
      <c r="C40" s="1"/>
      <c r="D40" s="1"/>
      <c r="E40" s="1"/>
      <c r="F40" s="1"/>
      <c r="J40" s="3"/>
    </row>
    <row r="41" spans="1:10" x14ac:dyDescent="0.15">
      <c r="A41" s="19"/>
      <c r="B41" s="1"/>
      <c r="C41" s="1"/>
      <c r="D41" s="1"/>
      <c r="E41" s="1"/>
      <c r="F41" s="1"/>
      <c r="J41" s="3"/>
    </row>
    <row r="42" spans="1:10" x14ac:dyDescent="0.15">
      <c r="A42" s="19"/>
      <c r="B42" s="1"/>
      <c r="C42" s="1"/>
      <c r="D42" s="1"/>
      <c r="E42" s="1"/>
      <c r="F42" s="1"/>
      <c r="J42" s="3"/>
    </row>
    <row r="43" spans="1:10" x14ac:dyDescent="0.15">
      <c r="J43" s="3"/>
    </row>
    <row r="44" spans="1:10" x14ac:dyDescent="0.15">
      <c r="J44" s="5"/>
    </row>
    <row r="45" spans="1:10" x14ac:dyDescent="0.15">
      <c r="J45" s="10"/>
    </row>
    <row r="46" spans="1:10" x14ac:dyDescent="0.15">
      <c r="J46" s="10"/>
    </row>
    <row r="47" spans="1:10" x14ac:dyDescent="0.15">
      <c r="J47" s="7"/>
    </row>
    <row r="48" spans="1:10" x14ac:dyDescent="0.15">
      <c r="J48" s="7"/>
    </row>
    <row r="49" spans="10:10" x14ac:dyDescent="0.15">
      <c r="J49" s="7"/>
    </row>
    <row r="50" spans="10:10" x14ac:dyDescent="0.15">
      <c r="J50" s="6"/>
    </row>
    <row r="51" spans="10:10" x14ac:dyDescent="0.15">
      <c r="J51" s="6"/>
    </row>
    <row r="52" spans="10:10" x14ac:dyDescent="0.15">
      <c r="J52" s="6"/>
    </row>
    <row r="53" spans="10:10" x14ac:dyDescent="0.15">
      <c r="J53" s="6"/>
    </row>
    <row r="54" spans="10:10" x14ac:dyDescent="0.15">
      <c r="J54" s="6"/>
    </row>
    <row r="55" spans="10:10" x14ac:dyDescent="0.15">
      <c r="J55" s="6"/>
    </row>
    <row r="56" spans="10:10" x14ac:dyDescent="0.15">
      <c r="J56" s="6"/>
    </row>
    <row r="57" spans="10:10" x14ac:dyDescent="0.15">
      <c r="J57" s="6"/>
    </row>
    <row r="58" spans="10:10" x14ac:dyDescent="0.15">
      <c r="J58" s="6"/>
    </row>
    <row r="59" spans="10:10" x14ac:dyDescent="0.15">
      <c r="J59" s="6"/>
    </row>
    <row r="60" spans="10:10" x14ac:dyDescent="0.15">
      <c r="J60" s="6"/>
    </row>
    <row r="61" spans="10:10" x14ac:dyDescent="0.15">
      <c r="J61" s="6"/>
    </row>
    <row r="62" spans="10:10" x14ac:dyDescent="0.15">
      <c r="J62" s="6"/>
    </row>
    <row r="63" spans="10:10" x14ac:dyDescent="0.15">
      <c r="J63" s="6"/>
    </row>
    <row r="64" spans="10:10" x14ac:dyDescent="0.15">
      <c r="J64" s="6"/>
    </row>
    <row r="65" spans="10:10" x14ac:dyDescent="0.15">
      <c r="J65" s="6"/>
    </row>
    <row r="66" spans="10:10" x14ac:dyDescent="0.15">
      <c r="J66" s="6"/>
    </row>
    <row r="67" spans="10:10" x14ac:dyDescent="0.15">
      <c r="J67" s="6"/>
    </row>
    <row r="68" spans="10:10" x14ac:dyDescent="0.15">
      <c r="J68" s="6"/>
    </row>
    <row r="69" spans="10:10" x14ac:dyDescent="0.15">
      <c r="J69" s="6"/>
    </row>
    <row r="70" spans="10:10" x14ac:dyDescent="0.15">
      <c r="J70" s="6"/>
    </row>
    <row r="71" spans="10:10" x14ac:dyDescent="0.15">
      <c r="J71" s="6"/>
    </row>
    <row r="72" spans="10:10" x14ac:dyDescent="0.15">
      <c r="J72" s="7"/>
    </row>
    <row r="73" spans="10:10" x14ac:dyDescent="0.15">
      <c r="J73" s="6"/>
    </row>
    <row r="74" spans="10:10" x14ac:dyDescent="0.15">
      <c r="J74" s="6"/>
    </row>
    <row r="75" spans="10:10" x14ac:dyDescent="0.15">
      <c r="J75" s="6"/>
    </row>
    <row r="76" spans="10:10" x14ac:dyDescent="0.15">
      <c r="J76" s="6"/>
    </row>
    <row r="77" spans="10:10" x14ac:dyDescent="0.15">
      <c r="J77" s="6"/>
    </row>
    <row r="78" spans="10:10" x14ac:dyDescent="0.15">
      <c r="J78" s="6"/>
    </row>
    <row r="79" spans="10:10" x14ac:dyDescent="0.15">
      <c r="J79" s="6"/>
    </row>
    <row r="80" spans="10:10" x14ac:dyDescent="0.15">
      <c r="J80" s="6"/>
    </row>
    <row r="81" spans="10:10" x14ac:dyDescent="0.15">
      <c r="J81" s="6"/>
    </row>
    <row r="82" spans="10:10" x14ac:dyDescent="0.15">
      <c r="J82" s="6"/>
    </row>
    <row r="83" spans="10:10" x14ac:dyDescent="0.15">
      <c r="J83" s="6"/>
    </row>
    <row r="84" spans="10:10" x14ac:dyDescent="0.15">
      <c r="J84" s="6"/>
    </row>
    <row r="85" spans="10:10" x14ac:dyDescent="0.15">
      <c r="J85" s="6"/>
    </row>
    <row r="86" spans="10:10" x14ac:dyDescent="0.15">
      <c r="J86" s="6"/>
    </row>
    <row r="87" spans="10:10" x14ac:dyDescent="0.15">
      <c r="J87" s="6"/>
    </row>
    <row r="88" spans="10:10" x14ac:dyDescent="0.15">
      <c r="J88" s="6"/>
    </row>
    <row r="89" spans="10:10" x14ac:dyDescent="0.15">
      <c r="J89" s="6"/>
    </row>
    <row r="90" spans="10:10" x14ac:dyDescent="0.15">
      <c r="J90" s="6"/>
    </row>
    <row r="91" spans="10:10" x14ac:dyDescent="0.15">
      <c r="J91" s="6"/>
    </row>
    <row r="92" spans="10:10" x14ac:dyDescent="0.15">
      <c r="J92" s="6"/>
    </row>
    <row r="93" spans="10:10" x14ac:dyDescent="0.15">
      <c r="J93" s="6"/>
    </row>
    <row r="94" spans="10:10" x14ac:dyDescent="0.15">
      <c r="J94" s="6"/>
    </row>
    <row r="95" spans="10:10" x14ac:dyDescent="0.15">
      <c r="J95" s="6"/>
    </row>
    <row r="96" spans="10:10" x14ac:dyDescent="0.15">
      <c r="J96" s="6"/>
    </row>
    <row r="97" spans="10:10" x14ac:dyDescent="0.15">
      <c r="J97" s="7"/>
    </row>
    <row r="98" spans="10:10" x14ac:dyDescent="0.15">
      <c r="J98" s="6"/>
    </row>
    <row r="99" spans="10:10" x14ac:dyDescent="0.15">
      <c r="J99" s="6"/>
    </row>
    <row r="100" spans="10:10" x14ac:dyDescent="0.15">
      <c r="J100" s="6"/>
    </row>
    <row r="101" spans="10:10" x14ac:dyDescent="0.15">
      <c r="J101" s="6"/>
    </row>
    <row r="102" spans="10:10" x14ac:dyDescent="0.15">
      <c r="J102" s="6"/>
    </row>
    <row r="103" spans="10:10" x14ac:dyDescent="0.15">
      <c r="J103" s="6"/>
    </row>
    <row r="104" spans="10:10" x14ac:dyDescent="0.15">
      <c r="J104" s="6"/>
    </row>
    <row r="105" spans="10:10" x14ac:dyDescent="0.15">
      <c r="J105" s="6"/>
    </row>
    <row r="106" spans="10:10" x14ac:dyDescent="0.15">
      <c r="J106" s="6"/>
    </row>
    <row r="107" spans="10:10" x14ac:dyDescent="0.15">
      <c r="J107" s="6"/>
    </row>
    <row r="108" spans="10:10" x14ac:dyDescent="0.15">
      <c r="J108" s="6"/>
    </row>
    <row r="109" spans="10:10" x14ac:dyDescent="0.15">
      <c r="J109" s="6"/>
    </row>
    <row r="110" spans="10:10" x14ac:dyDescent="0.15">
      <c r="J110" s="6"/>
    </row>
    <row r="111" spans="10:10" x14ac:dyDescent="0.15">
      <c r="J111" s="6"/>
    </row>
    <row r="112" spans="10:10" x14ac:dyDescent="0.15">
      <c r="J112" s="6"/>
    </row>
    <row r="113" spans="10:10" x14ac:dyDescent="0.15">
      <c r="J113" s="6"/>
    </row>
    <row r="114" spans="10:10" x14ac:dyDescent="0.15">
      <c r="J114" s="6"/>
    </row>
    <row r="115" spans="10:10" x14ac:dyDescent="0.15">
      <c r="J115" s="6"/>
    </row>
    <row r="116" spans="10:10" x14ac:dyDescent="0.15">
      <c r="J116" s="6"/>
    </row>
    <row r="117" spans="10:10" x14ac:dyDescent="0.15">
      <c r="J117" s="6"/>
    </row>
    <row r="118" spans="10:10" x14ac:dyDescent="0.15">
      <c r="J118" s="6"/>
    </row>
    <row r="119" spans="10:10" x14ac:dyDescent="0.15">
      <c r="J119" s="6"/>
    </row>
    <row r="120" spans="10:10" x14ac:dyDescent="0.15">
      <c r="J120" s="6"/>
    </row>
    <row r="121" spans="10:10" x14ac:dyDescent="0.15">
      <c r="J121" s="6"/>
    </row>
    <row r="122" spans="10:10" x14ac:dyDescent="0.15">
      <c r="J122" s="6"/>
    </row>
    <row r="123" spans="10:10" x14ac:dyDescent="0.15">
      <c r="J123" s="6"/>
    </row>
    <row r="124" spans="10:10" x14ac:dyDescent="0.15">
      <c r="J124" s="6"/>
    </row>
    <row r="125" spans="10:10" x14ac:dyDescent="0.15">
      <c r="J125" s="7"/>
    </row>
    <row r="126" spans="10:10" x14ac:dyDescent="0.15">
      <c r="J126" s="6"/>
    </row>
    <row r="127" spans="10:10" x14ac:dyDescent="0.15">
      <c r="J127" s="6"/>
    </row>
    <row r="128" spans="10:10" x14ac:dyDescent="0.15">
      <c r="J128" s="6"/>
    </row>
    <row r="129" spans="10:10" x14ac:dyDescent="0.15">
      <c r="J129" s="6"/>
    </row>
    <row r="130" spans="10:10" x14ac:dyDescent="0.15">
      <c r="J130" s="6"/>
    </row>
    <row r="131" spans="10:10" x14ac:dyDescent="0.15">
      <c r="J131" s="6"/>
    </row>
    <row r="132" spans="10:10" x14ac:dyDescent="0.15">
      <c r="J132" s="6"/>
    </row>
    <row r="133" spans="10:10" x14ac:dyDescent="0.15">
      <c r="J133" s="6"/>
    </row>
    <row r="134" spans="10:10" x14ac:dyDescent="0.15">
      <c r="J134" s="6"/>
    </row>
    <row r="135" spans="10:10" x14ac:dyDescent="0.15">
      <c r="J135" s="6"/>
    </row>
    <row r="136" spans="10:10" x14ac:dyDescent="0.15">
      <c r="J136" s="6"/>
    </row>
    <row r="137" spans="10:10" x14ac:dyDescent="0.15">
      <c r="J137" s="6"/>
    </row>
    <row r="138" spans="10:10" x14ac:dyDescent="0.15">
      <c r="J138" s="6"/>
    </row>
    <row r="139" spans="10:10" x14ac:dyDescent="0.15">
      <c r="J139" s="6"/>
    </row>
    <row r="140" spans="10:10" x14ac:dyDescent="0.15">
      <c r="J140" s="7"/>
    </row>
    <row r="141" spans="10:10" x14ac:dyDescent="0.15">
      <c r="J141" s="6"/>
    </row>
    <row r="142" spans="10:10" x14ac:dyDescent="0.15">
      <c r="J142" s="6"/>
    </row>
    <row r="143" spans="10:10" x14ac:dyDescent="0.15">
      <c r="J143" s="6"/>
    </row>
    <row r="144" spans="10:10" x14ac:dyDescent="0.15">
      <c r="J144" s="6"/>
    </row>
    <row r="145" spans="10:10" x14ac:dyDescent="0.15">
      <c r="J145" s="6"/>
    </row>
    <row r="146" spans="10:10" x14ac:dyDescent="0.15">
      <c r="J146" s="6"/>
    </row>
    <row r="147" spans="10:10" x14ac:dyDescent="0.15">
      <c r="J147" s="6"/>
    </row>
    <row r="148" spans="10:10" x14ac:dyDescent="0.15">
      <c r="J148" s="6"/>
    </row>
    <row r="149" spans="10:10" x14ac:dyDescent="0.15">
      <c r="J149" s="6"/>
    </row>
    <row r="150" spans="10:10" x14ac:dyDescent="0.15">
      <c r="J150" s="6"/>
    </row>
    <row r="151" spans="10:10" x14ac:dyDescent="0.15">
      <c r="J151" s="6"/>
    </row>
    <row r="152" spans="10:10" x14ac:dyDescent="0.15">
      <c r="J152" s="6"/>
    </row>
    <row r="153" spans="10:10" x14ac:dyDescent="0.15">
      <c r="J153" s="6"/>
    </row>
    <row r="154" spans="10:10" x14ac:dyDescent="0.15">
      <c r="J154" s="6"/>
    </row>
    <row r="155" spans="10:10" x14ac:dyDescent="0.15">
      <c r="J155" s="6"/>
    </row>
    <row r="156" spans="10:10" x14ac:dyDescent="0.15">
      <c r="J156" s="6"/>
    </row>
    <row r="157" spans="10:10" x14ac:dyDescent="0.15">
      <c r="J157" s="7"/>
    </row>
    <row r="158" spans="10:10" x14ac:dyDescent="0.15">
      <c r="J158" s="7"/>
    </row>
    <row r="159" spans="10:10" x14ac:dyDescent="0.15">
      <c r="J159" s="7"/>
    </row>
    <row r="160" spans="10:10" x14ac:dyDescent="0.15">
      <c r="J160" s="6"/>
    </row>
    <row r="161" spans="10:10" x14ac:dyDescent="0.15">
      <c r="J161" s="6"/>
    </row>
    <row r="162" spans="10:10" x14ac:dyDescent="0.15">
      <c r="J162" s="6"/>
    </row>
    <row r="163" spans="10:10" x14ac:dyDescent="0.15">
      <c r="J163" s="6"/>
    </row>
    <row r="164" spans="10:10" x14ac:dyDescent="0.15">
      <c r="J164" s="6"/>
    </row>
    <row r="165" spans="10:10" x14ac:dyDescent="0.15">
      <c r="J165" s="6"/>
    </row>
    <row r="166" spans="10:10" x14ac:dyDescent="0.15">
      <c r="J166" s="6"/>
    </row>
    <row r="167" spans="10:10" x14ac:dyDescent="0.15">
      <c r="J167" s="6"/>
    </row>
    <row r="168" spans="10:10" x14ac:dyDescent="0.15">
      <c r="J168" s="6"/>
    </row>
    <row r="169" spans="10:10" x14ac:dyDescent="0.15">
      <c r="J169" s="6"/>
    </row>
    <row r="170" spans="10:10" x14ac:dyDescent="0.15">
      <c r="J170" s="6"/>
    </row>
    <row r="171" spans="10:10" x14ac:dyDescent="0.15">
      <c r="J171" s="6"/>
    </row>
    <row r="172" spans="10:10" x14ac:dyDescent="0.15">
      <c r="J172" s="6"/>
    </row>
    <row r="173" spans="10:10" x14ac:dyDescent="0.15">
      <c r="J173" s="6"/>
    </row>
    <row r="174" spans="10:10" x14ac:dyDescent="0.15">
      <c r="J174" s="6"/>
    </row>
    <row r="175" spans="10:10" x14ac:dyDescent="0.15">
      <c r="J175" s="7"/>
    </row>
    <row r="176" spans="10:10" x14ac:dyDescent="0.15">
      <c r="J176" s="6"/>
    </row>
    <row r="177" spans="10:10" x14ac:dyDescent="0.15">
      <c r="J177" s="6"/>
    </row>
    <row r="178" spans="10:10" x14ac:dyDescent="0.15">
      <c r="J178" s="6"/>
    </row>
    <row r="179" spans="10:10" x14ac:dyDescent="0.15">
      <c r="J179" s="6"/>
    </row>
    <row r="180" spans="10:10" x14ac:dyDescent="0.15">
      <c r="J180" s="6"/>
    </row>
    <row r="181" spans="10:10" x14ac:dyDescent="0.15">
      <c r="J181" s="6"/>
    </row>
    <row r="182" spans="10:10" x14ac:dyDescent="0.15">
      <c r="J182" s="6"/>
    </row>
    <row r="183" spans="10:10" x14ac:dyDescent="0.15">
      <c r="J183" s="6"/>
    </row>
    <row r="184" spans="10:10" x14ac:dyDescent="0.15">
      <c r="J184" s="6"/>
    </row>
    <row r="185" spans="10:10" x14ac:dyDescent="0.15">
      <c r="J185" s="6"/>
    </row>
    <row r="186" spans="10:10" x14ac:dyDescent="0.15">
      <c r="J186" s="6"/>
    </row>
    <row r="187" spans="10:10" x14ac:dyDescent="0.15">
      <c r="J187" s="6"/>
    </row>
    <row r="188" spans="10:10" x14ac:dyDescent="0.15">
      <c r="J188" s="6"/>
    </row>
    <row r="189" spans="10:10" x14ac:dyDescent="0.15">
      <c r="J189" s="6"/>
    </row>
    <row r="190" spans="10:10" x14ac:dyDescent="0.15">
      <c r="J190" s="6"/>
    </row>
    <row r="191" spans="10:10" x14ac:dyDescent="0.15">
      <c r="J191" s="6"/>
    </row>
    <row r="192" spans="10:10" x14ac:dyDescent="0.15">
      <c r="J192" s="6"/>
    </row>
    <row r="193" spans="10:10" x14ac:dyDescent="0.15">
      <c r="J193" s="7"/>
    </row>
    <row r="194" spans="10:10" x14ac:dyDescent="0.15">
      <c r="J194" s="6"/>
    </row>
    <row r="195" spans="10:10" x14ac:dyDescent="0.15">
      <c r="J195" s="6"/>
    </row>
    <row r="196" spans="10:10" x14ac:dyDescent="0.15">
      <c r="J196" s="6"/>
    </row>
    <row r="197" spans="10:10" x14ac:dyDescent="0.15">
      <c r="J197" s="6"/>
    </row>
    <row r="198" spans="10:10" x14ac:dyDescent="0.15">
      <c r="J198" s="6"/>
    </row>
    <row r="199" spans="10:10" x14ac:dyDescent="0.15">
      <c r="J199" s="6"/>
    </row>
    <row r="200" spans="10:10" x14ac:dyDescent="0.15">
      <c r="J200" s="6"/>
    </row>
    <row r="201" spans="10:10" x14ac:dyDescent="0.15">
      <c r="J201" s="6"/>
    </row>
    <row r="202" spans="10:10" x14ac:dyDescent="0.15">
      <c r="J202" s="6"/>
    </row>
    <row r="203" spans="10:10" x14ac:dyDescent="0.15">
      <c r="J203" s="6"/>
    </row>
    <row r="204" spans="10:10" x14ac:dyDescent="0.15">
      <c r="J204" s="6"/>
    </row>
    <row r="205" spans="10:10" x14ac:dyDescent="0.15">
      <c r="J205" s="6"/>
    </row>
    <row r="206" spans="10:10" x14ac:dyDescent="0.15">
      <c r="J206" s="6"/>
    </row>
    <row r="207" spans="10:10" x14ac:dyDescent="0.15">
      <c r="J207" s="6"/>
    </row>
    <row r="208" spans="10:10" x14ac:dyDescent="0.15">
      <c r="J208" s="6"/>
    </row>
    <row r="209" spans="10:10" x14ac:dyDescent="0.15">
      <c r="J209" s="6"/>
    </row>
    <row r="210" spans="10:10" x14ac:dyDescent="0.15">
      <c r="J210" s="6"/>
    </row>
    <row r="211" spans="10:10" x14ac:dyDescent="0.15">
      <c r="J211" s="7"/>
    </row>
    <row r="212" spans="10:10" x14ac:dyDescent="0.15">
      <c r="J212" s="6"/>
    </row>
    <row r="213" spans="10:10" x14ac:dyDescent="0.15">
      <c r="J213" s="6"/>
    </row>
    <row r="214" spans="10:10" x14ac:dyDescent="0.15">
      <c r="J214" s="6"/>
    </row>
    <row r="215" spans="10:10" x14ac:dyDescent="0.15">
      <c r="J215" s="6"/>
    </row>
    <row r="216" spans="10:10" x14ac:dyDescent="0.15">
      <c r="J216" s="6"/>
    </row>
    <row r="217" spans="10:10" x14ac:dyDescent="0.15">
      <c r="J217" s="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</vt:i4>
      </vt:variant>
    </vt:vector>
  </HeadingPairs>
  <TitlesOfParts>
    <vt:vector size="10" baseType="lpstr">
      <vt:lpstr>首页</vt:lpstr>
      <vt:lpstr>杜邦分析指标</vt:lpstr>
      <vt:lpstr>杜邦分析图</vt:lpstr>
      <vt:lpstr>历史财务报表</vt:lpstr>
      <vt:lpstr>Formulas</vt:lpstr>
      <vt:lpstr>AnalysisDateText</vt:lpstr>
      <vt:lpstr>DateListRange</vt:lpstr>
      <vt:lpstr>ReportDateRange</vt:lpstr>
      <vt:lpstr>StockCode</vt:lpstr>
      <vt:lpstr>unit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余桂芳</dc:creator>
  <cp:lastModifiedBy>yuguifang</cp:lastModifiedBy>
  <cp:revision>1</cp:revision>
  <dcterms:created xsi:type="dcterms:W3CDTF">2006-09-16T00:00:00Z</dcterms:created>
  <dcterms:modified xsi:type="dcterms:W3CDTF">2020-07-08T05:30:01Z</dcterms:modified>
</cp:coreProperties>
</file>